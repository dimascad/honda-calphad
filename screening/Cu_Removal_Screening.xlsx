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mation Energies" sheetId="1" state="visible" r:id="rId1"/>
    <sheet xmlns:r="http://schemas.openxmlformats.org/officeDocument/2006/relationships" name="Binary Screening" sheetId="2" state="visible" r:id="rId2"/>
    <sheet xmlns:r="http://schemas.openxmlformats.org/officeDocument/2006/relationships" name="Ternary Reaction Balance" sheetId="3" state="visible" r:id="rId3"/>
    <sheet xmlns:r="http://schemas.openxmlformats.org/officeDocument/2006/relationships" name="Ternary Reaction dG" sheetId="4" state="visible" r:id="rId4"/>
    <sheet xmlns:r="http://schemas.openxmlformats.org/officeDocument/2006/relationships" name="Combined Screening" sheetId="5" state="visible" r:id="rId5"/>
    <sheet xmlns:r="http://schemas.openxmlformats.org/officeDocument/2006/relationships" name="Normalization Explained" sheetId="6" state="visible" r:id="rId6"/>
    <sheet xmlns:r="http://schemas.openxmlformats.org/officeDocument/2006/relationships" name="Pricing &amp; SD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+#,##0.0;-#,##0.0"/>
    <numFmt numFmtId="166" formatCode="0.##"/>
    <numFmt numFmtId="167" formatCode="$#,##0.00"/>
    <numFmt numFmtId="168" formatCode="$#,##0.0000"/>
  </numFmts>
  <fonts count="9">
    <font>
      <name val="Calibri"/>
      <family val="2"/>
      <color theme="1"/>
      <sz val="11"/>
      <scheme val="minor"/>
    </font>
    <font>
      <b val="1"/>
      <color rgb="00FFFFFF"/>
      <sz val="11"/>
    </font>
    <font>
      <sz val="11"/>
    </font>
    <font>
      <b val="1"/>
      <sz val="11"/>
    </font>
    <font>
      <i val="1"/>
      <color rgb="00666666"/>
      <sz val="10"/>
    </font>
    <font>
      <b val="1"/>
      <color rgb="009C0006"/>
      <sz val="11"/>
    </font>
    <font>
      <b val="1"/>
      <color rgb="00006100"/>
      <sz val="11"/>
    </font>
    <font>
      <color rgb="00666666"/>
      <sz val="10"/>
    </font>
    <font>
      <i val="1"/>
      <color rgb="00996600"/>
      <sz val="11"/>
    </font>
  </fonts>
  <fills count="6">
    <fill>
      <patternFill/>
    </fill>
    <fill>
      <patternFill patternType="gray125"/>
    </fill>
    <fill>
      <patternFill patternType="solid">
        <fgColor rgb="00595959"/>
        <bgColor rgb="00595959"/>
      </patternFill>
    </fill>
    <fill>
      <patternFill patternType="solid">
        <fgColor rgb="00FFFFFF"/>
        <bgColor rgb="00FFFFFF"/>
      </patternFill>
    </fill>
    <fill>
      <patternFill patternType="solid">
        <fgColor rgb="00E0E0E0"/>
        <bgColor rgb="00E0E0E0"/>
      </patternFill>
    </fill>
    <fill>
      <patternFill patternType="solid">
        <fgColor rgb="00FFF2CC"/>
        <bgColor rgb="00FFF2CC"/>
      </patternFill>
    </fill>
  </fills>
  <borders count="13">
    <border>
      <left/>
      <right/>
      <top/>
      <bottom/>
      <diagonal/>
    </border>
    <border>
      <left style="medium"/>
      <right style="thin"/>
      <top style="medium"/>
      <bottom style="medium"/>
    </border>
    <border>
      <left style="thin"/>
      <right style="thin"/>
      <top style="medium"/>
      <bottom style="medium"/>
    </border>
    <border>
      <left style="thin"/>
      <right style="medium"/>
      <top style="medium"/>
      <bottom style="medium"/>
    </border>
    <border>
      <left style="medium"/>
      <right style="thin"/>
      <top style="thin"/>
      <bottom style="thin"/>
    </border>
    <border>
      <left style="thin"/>
      <right style="thin"/>
      <top style="thin"/>
      <bottom style="thin"/>
    </border>
    <border>
      <left style="thin"/>
      <right style="medium"/>
      <top style="thin"/>
      <bottom style="thin"/>
    </border>
    <border>
      <left style="medium"/>
      <right style="thin"/>
      <top style="thin"/>
      <bottom style="medium"/>
    </border>
    <border>
      <left style="thin"/>
      <right style="thin"/>
      <top style="thin"/>
      <bottom style="medium"/>
    </border>
    <border>
      <left style="thin"/>
      <right style="medium"/>
      <top style="thin"/>
      <bottom style="medium"/>
    </border>
    <border>
      <left style="medium"/>
      <right style="thin"/>
      <top style="medium"/>
      <bottom style="thin"/>
    </border>
    <border>
      <left style="thin"/>
      <right style="thin"/>
      <top style="medium"/>
      <bottom style="thin"/>
    </border>
    <border>
      <left style="thin"/>
      <right style="medium"/>
      <top style="medium"/>
      <bottom style="thin"/>
    </border>
  </borders>
  <cellStyleXfs count="1">
    <xf numFmtId="0" fontId="0" fillId="0" borderId="0"/>
  </cellStyleXfs>
  <cellXfs count="11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164" fontId="2" fillId="3" borderId="5" applyAlignment="1" pivotButton="0" quotePrefix="0" xfId="0">
      <alignment horizontal="center" vertical="center" wrapText="1"/>
    </xf>
    <xf numFmtId="0" fontId="2" fillId="3" borderId="6" applyAlignment="1" pivotButton="0" quotePrefix="0" xfId="0">
      <alignment horizontal="center" vertical="center" wrapText="1"/>
    </xf>
    <xf numFmtId="164" fontId="2" fillId="4" borderId="5" applyAlignment="1" pivotButton="0" quotePrefix="0" xfId="0">
      <alignment horizontal="center" vertical="center" wrapText="1"/>
    </xf>
    <xf numFmtId="0" fontId="2" fillId="4" borderId="6" applyAlignment="1" pivotButton="0" quotePrefix="0" xfId="0">
      <alignment horizontal="center" vertical="center" wrapText="1"/>
    </xf>
    <xf numFmtId="164" fontId="2" fillId="3" borderId="6" applyAlignment="1" pivotButton="0" quotePrefix="0" xfId="0">
      <alignment horizontal="center" vertical="center" wrapText="1"/>
    </xf>
    <xf numFmtId="164" fontId="2" fillId="4" borderId="6" applyAlignment="1" pivotButton="0" quotePrefix="0" xfId="0">
      <alignment horizontal="center" vertical="center" wrapText="1"/>
    </xf>
    <xf numFmtId="0" fontId="2" fillId="0" borderId="7" applyAlignment="1" pivotButton="0" quotePrefix="0" xfId="0">
      <alignment horizontal="center" vertical="center" wrapText="1"/>
    </xf>
    <xf numFmtId="164" fontId="2" fillId="3" borderId="8" applyAlignment="1" pivotButton="0" quotePrefix="0" xfId="0">
      <alignment horizontal="center" vertical="center" wrapText="1"/>
    </xf>
    <xf numFmtId="0" fontId="2" fillId="3" borderId="9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0" borderId="0" pivotButton="0" quotePrefix="0" xfId="0"/>
    <xf numFmtId="0" fontId="2" fillId="3" borderId="4" applyAlignment="1" pivotButton="0" quotePrefix="0" xfId="0">
      <alignment horizontal="left" vertical="center" wrapText="1"/>
    </xf>
    <xf numFmtId="0" fontId="2" fillId="3" borderId="5" applyAlignment="1" pivotButton="0" quotePrefix="0" xfId="0">
      <alignment horizontal="center" vertical="center" wrapText="1"/>
    </xf>
    <xf numFmtId="165" fontId="2" fillId="3" borderId="5" applyAlignment="1" pivotButton="0" quotePrefix="0" xfId="0">
      <alignment horizontal="center" vertical="center" wrapText="1"/>
    </xf>
    <xf numFmtId="0" fontId="2" fillId="3" borderId="5" applyAlignment="1" pivotButton="0" quotePrefix="0" xfId="0">
      <alignment horizontal="left" vertical="center" wrapText="1"/>
    </xf>
    <xf numFmtId="0" fontId="2" fillId="3" borderId="6" applyAlignment="1" pivotButton="0" quotePrefix="0" xfId="0">
      <alignment horizontal="left" vertical="center" wrapText="1"/>
    </xf>
    <xf numFmtId="0" fontId="2" fillId="4" borderId="4" applyAlignment="1" pivotButton="0" quotePrefix="0" xfId="0">
      <alignment horizontal="left" vertical="center" wrapText="1"/>
    </xf>
    <xf numFmtId="0" fontId="2" fillId="4" borderId="5" applyAlignment="1" pivotButton="0" quotePrefix="0" xfId="0">
      <alignment horizontal="center" vertical="center" wrapText="1"/>
    </xf>
    <xf numFmtId="165" fontId="2" fillId="4" borderId="5" applyAlignment="1" pivotButton="0" quotePrefix="0" xfId="0">
      <alignment horizontal="center" vertical="center" wrapText="1"/>
    </xf>
    <xf numFmtId="0" fontId="2" fillId="4" borderId="5" applyAlignment="1" pivotButton="0" quotePrefix="0" xfId="0">
      <alignment horizontal="left" vertical="center" wrapText="1"/>
    </xf>
    <xf numFmtId="0" fontId="2" fillId="4" borderId="6" applyAlignment="1" pivotButton="0" quotePrefix="0" xfId="0">
      <alignment horizontal="left" vertical="center" wrapText="1"/>
    </xf>
    <xf numFmtId="0" fontId="5" fillId="3" borderId="5" applyAlignment="1" pivotButton="0" quotePrefix="0" xfId="0">
      <alignment horizontal="center" vertical="center" wrapText="1"/>
    </xf>
    <xf numFmtId="0" fontId="5" fillId="4" borderId="5" applyAlignment="1" pivotButton="0" quotePrefix="0" xfId="0">
      <alignment horizontal="center" vertical="center" wrapText="1"/>
    </xf>
    <xf numFmtId="0" fontId="2" fillId="3" borderId="7" applyAlignment="1" pivotButton="0" quotePrefix="0" xfId="0">
      <alignment horizontal="left" vertical="center" wrapText="1"/>
    </xf>
    <xf numFmtId="0" fontId="2" fillId="3" borderId="8" applyAlignment="1" pivotButton="0" quotePrefix="0" xfId="0">
      <alignment horizontal="center" vertical="center" wrapText="1"/>
    </xf>
    <xf numFmtId="0" fontId="5" fillId="3" borderId="8" applyAlignment="1" pivotButton="0" quotePrefix="0" xfId="0">
      <alignment horizontal="center" vertical="center" wrapText="1"/>
    </xf>
    <xf numFmtId="165" fontId="2" fillId="3" borderId="8" applyAlignment="1" pivotButton="0" quotePrefix="0" xfId="0">
      <alignment horizontal="center" vertical="center" wrapText="1"/>
    </xf>
    <xf numFmtId="0" fontId="2" fillId="3" borderId="8" applyAlignment="1" pivotButton="0" quotePrefix="0" xfId="0">
      <alignment horizontal="left" vertical="center" wrapText="1"/>
    </xf>
    <xf numFmtId="0" fontId="2" fillId="3" borderId="9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 wrapText="1"/>
    </xf>
    <xf numFmtId="0" fontId="2" fillId="4" borderId="2" applyAlignment="1" pivotButton="0" quotePrefix="0" xfId="0">
      <alignment horizontal="left" vertical="center" wrapText="1"/>
    </xf>
    <xf numFmtId="0" fontId="2" fillId="4" borderId="2" applyAlignment="1" pivotButton="0" quotePrefix="0" xfId="0">
      <alignment horizontal="center" vertical="center" wrapText="1"/>
    </xf>
    <xf numFmtId="0" fontId="2" fillId="4" borderId="3" applyAlignment="1" pivotButton="0" quotePrefix="0" xfId="0">
      <alignment horizontal="center" vertical="center" wrapText="1"/>
    </xf>
    <xf numFmtId="0" fontId="2" fillId="3" borderId="10" applyAlignment="1" pivotButton="0" quotePrefix="0" xfId="0">
      <alignment horizontal="left" vertical="center" wrapText="1"/>
    </xf>
    <xf numFmtId="0" fontId="2" fillId="3" borderId="11" applyAlignment="1" pivotButton="0" quotePrefix="0" xfId="0">
      <alignment horizontal="left" vertical="center" wrapText="1"/>
    </xf>
    <xf numFmtId="0" fontId="2" fillId="3" borderId="11" applyAlignment="1" pivotButton="0" quotePrefix="0" xfId="0">
      <alignment horizontal="center" vertical="center" wrapText="1"/>
    </xf>
    <xf numFmtId="0" fontId="2" fillId="3" borderId="12" applyAlignment="1" pivotButton="0" quotePrefix="0" xfId="0">
      <alignment horizontal="center" vertical="center" wrapText="1"/>
    </xf>
    <xf numFmtId="0" fontId="2" fillId="4" borderId="10" applyAlignment="1" pivotButton="0" quotePrefix="0" xfId="0">
      <alignment horizontal="left" vertical="center" wrapText="1"/>
    </xf>
    <xf numFmtId="0" fontId="2" fillId="4" borderId="11" applyAlignment="1" pivotButton="0" quotePrefix="0" xfId="0">
      <alignment horizontal="left" vertical="center" wrapText="1"/>
    </xf>
    <xf numFmtId="0" fontId="2" fillId="4" borderId="11" applyAlignment="1" pivotButton="0" quotePrefix="0" xfId="0">
      <alignment horizontal="center" vertical="center" wrapText="1"/>
    </xf>
    <xf numFmtId="0" fontId="2" fillId="4" borderId="12" applyAlignment="1" pivotButton="0" quotePrefix="0" xfId="0">
      <alignment horizontal="center" vertical="center" wrapText="1"/>
    </xf>
    <xf numFmtId="0" fontId="2" fillId="4" borderId="7" applyAlignment="1" pivotButton="0" quotePrefix="0" xfId="0">
      <alignment horizontal="left" vertical="center" wrapText="1"/>
    </xf>
    <xf numFmtId="0" fontId="2" fillId="4" borderId="8" applyAlignment="1" pivotButton="0" quotePrefix="0" xfId="0">
      <alignment horizontal="left" vertical="center" wrapText="1"/>
    </xf>
    <xf numFmtId="0" fontId="2" fillId="4" borderId="8" applyAlignment="1" pivotButton="0" quotePrefix="0" xfId="0">
      <alignment horizontal="center" vertical="center" wrapText="1"/>
    </xf>
    <xf numFmtId="0" fontId="2" fillId="4" borderId="9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3" borderId="2" applyAlignment="1" pivotButton="0" quotePrefix="0" xfId="0">
      <alignment horizontal="left" vertical="center" wrapText="1"/>
    </xf>
    <xf numFmtId="0" fontId="2" fillId="3" borderId="2" applyAlignment="1" pivotButton="0" quotePrefix="0" xfId="0">
      <alignment horizontal="center" vertical="center" wrapText="1"/>
    </xf>
    <xf numFmtId="0" fontId="2" fillId="3" borderId="3" applyAlignment="1" pivotButton="0" quotePrefix="0" xfId="0">
      <alignment horizontal="center" vertical="center" wrapText="1"/>
    </xf>
    <xf numFmtId="165" fontId="6" fillId="3" borderId="8" applyAlignment="1" pivotButton="0" quotePrefix="0" xfId="0">
      <alignment horizontal="center" vertical="center" wrapText="1"/>
    </xf>
    <xf numFmtId="166" fontId="2" fillId="3" borderId="8" applyAlignment="1" pivotButton="0" quotePrefix="0" xfId="0">
      <alignment horizontal="center" vertical="center" wrapText="1"/>
    </xf>
    <xf numFmtId="4" fontId="2" fillId="3" borderId="8" applyAlignment="1" pivotButton="0" quotePrefix="0" xfId="0">
      <alignment horizontal="center" vertical="center" wrapText="1"/>
    </xf>
    <xf numFmtId="165" fontId="0" fillId="3" borderId="8" applyAlignment="1" pivotButton="0" quotePrefix="0" xfId="0">
      <alignment horizontal="center" vertical="center" wrapText="1"/>
    </xf>
    <xf numFmtId="165" fontId="7" fillId="3" borderId="8" applyAlignment="1" pivotButton="0" quotePrefix="0" xfId="0">
      <alignment horizontal="center" vertical="center" wrapText="1"/>
    </xf>
    <xf numFmtId="165" fontId="6" fillId="4" borderId="2" applyAlignment="1" pivotButton="0" quotePrefix="0" xfId="0">
      <alignment horizontal="center" vertical="center" wrapText="1"/>
    </xf>
    <xf numFmtId="166" fontId="2" fillId="4" borderId="2" applyAlignment="1" pivotButton="0" quotePrefix="0" xfId="0">
      <alignment horizontal="center" vertical="center" wrapText="1"/>
    </xf>
    <xf numFmtId="4" fontId="2" fillId="4" borderId="2" applyAlignment="1" pivotButton="0" quotePrefix="0" xfId="0">
      <alignment horizontal="center" vertical="center" wrapText="1"/>
    </xf>
    <xf numFmtId="165" fontId="0" fillId="4" borderId="2" applyAlignment="1" pivotButton="0" quotePrefix="0" xfId="0">
      <alignment horizontal="center" vertical="center" wrapText="1"/>
    </xf>
    <xf numFmtId="165" fontId="7" fillId="4" borderId="2" applyAlignment="1" pivotButton="0" quotePrefix="0" xfId="0">
      <alignment horizontal="center" vertical="center" wrapText="1"/>
    </xf>
    <xf numFmtId="0" fontId="2" fillId="4" borderId="3" applyAlignment="1" pivotButton="0" quotePrefix="0" xfId="0">
      <alignment horizontal="left" vertical="center" wrapText="1"/>
    </xf>
    <xf numFmtId="165" fontId="6" fillId="3" borderId="11" applyAlignment="1" pivotButton="0" quotePrefix="0" xfId="0">
      <alignment horizontal="center" vertical="center" wrapText="1"/>
    </xf>
    <xf numFmtId="166" fontId="2" fillId="3" borderId="11" applyAlignment="1" pivotButton="0" quotePrefix="0" xfId="0">
      <alignment horizontal="center" vertical="center" wrapText="1"/>
    </xf>
    <xf numFmtId="4" fontId="2" fillId="3" borderId="11" applyAlignment="1" pivotButton="0" quotePrefix="0" xfId="0">
      <alignment horizontal="center" vertical="center" wrapText="1"/>
    </xf>
    <xf numFmtId="165" fontId="0" fillId="3" borderId="11" applyAlignment="1" pivotButton="0" quotePrefix="0" xfId="0">
      <alignment horizontal="center" vertical="center" wrapText="1"/>
    </xf>
    <xf numFmtId="165" fontId="7" fillId="3" borderId="11" applyAlignment="1" pivotButton="0" quotePrefix="0" xfId="0">
      <alignment horizontal="center" vertical="center" wrapText="1"/>
    </xf>
    <xf numFmtId="0" fontId="2" fillId="3" borderId="12" applyAlignment="1" pivotButton="0" quotePrefix="0" xfId="0">
      <alignment horizontal="left" vertical="center" wrapText="1"/>
    </xf>
    <xf numFmtId="165" fontId="6" fillId="4" borderId="5" applyAlignment="1" pivotButton="0" quotePrefix="0" xfId="0">
      <alignment horizontal="center" vertical="center" wrapText="1"/>
    </xf>
    <xf numFmtId="166" fontId="2" fillId="4" borderId="5" applyAlignment="1" pivotButton="0" quotePrefix="0" xfId="0">
      <alignment horizontal="center" vertical="center" wrapText="1"/>
    </xf>
    <xf numFmtId="4" fontId="2" fillId="4" borderId="5" applyAlignment="1" pivotButton="0" quotePrefix="0" xfId="0">
      <alignment horizontal="center" vertical="center" wrapText="1"/>
    </xf>
    <xf numFmtId="165" fontId="0" fillId="4" borderId="5" applyAlignment="1" pivotButton="0" quotePrefix="0" xfId="0">
      <alignment horizontal="center" vertical="center" wrapText="1"/>
    </xf>
    <xf numFmtId="165" fontId="7" fillId="4" borderId="5" applyAlignment="1" pivotButton="0" quotePrefix="0" xfId="0">
      <alignment horizontal="center" vertical="center" wrapText="1"/>
    </xf>
    <xf numFmtId="165" fontId="6" fillId="3" borderId="5" applyAlignment="1" pivotButton="0" quotePrefix="0" xfId="0">
      <alignment horizontal="center" vertical="center" wrapText="1"/>
    </xf>
    <xf numFmtId="166" fontId="2" fillId="3" borderId="5" applyAlignment="1" pivotButton="0" quotePrefix="0" xfId="0">
      <alignment horizontal="center" vertical="center" wrapText="1"/>
    </xf>
    <xf numFmtId="4" fontId="2" fillId="3" borderId="5" applyAlignment="1" pivotButton="0" quotePrefix="0" xfId="0">
      <alignment horizontal="center" vertical="center" wrapText="1"/>
    </xf>
    <xf numFmtId="165" fontId="0" fillId="3" borderId="5" applyAlignment="1" pivotButton="0" quotePrefix="0" xfId="0">
      <alignment horizontal="center" vertical="center" wrapText="1"/>
    </xf>
    <xf numFmtId="165" fontId="7" fillId="3" borderId="5" applyAlignment="1" pivotButton="0" quotePrefix="0" xfId="0">
      <alignment horizontal="center" vertical="center" wrapText="1"/>
    </xf>
    <xf numFmtId="165" fontId="6" fillId="4" borderId="8" applyAlignment="1" pivotButton="0" quotePrefix="0" xfId="0">
      <alignment horizontal="center" vertical="center" wrapText="1"/>
    </xf>
    <xf numFmtId="166" fontId="2" fillId="4" borderId="8" applyAlignment="1" pivotButton="0" quotePrefix="0" xfId="0">
      <alignment horizontal="center" vertical="center" wrapText="1"/>
    </xf>
    <xf numFmtId="4" fontId="2" fillId="4" borderId="8" applyAlignment="1" pivotButton="0" quotePrefix="0" xfId="0">
      <alignment horizontal="center" vertical="center" wrapText="1"/>
    </xf>
    <xf numFmtId="165" fontId="0" fillId="4" borderId="8" applyAlignment="1" pivotButton="0" quotePrefix="0" xfId="0">
      <alignment horizontal="center" vertical="center" wrapText="1"/>
    </xf>
    <xf numFmtId="165" fontId="7" fillId="4" borderId="8" applyAlignment="1" pivotButton="0" quotePrefix="0" xfId="0">
      <alignment horizontal="center" vertical="center" wrapText="1"/>
    </xf>
    <xf numFmtId="0" fontId="2" fillId="4" borderId="9" applyAlignment="1" pivotButton="0" quotePrefix="0" xfId="0">
      <alignment horizontal="left" vertical="center" wrapText="1"/>
    </xf>
    <xf numFmtId="165" fontId="6" fillId="3" borderId="2" applyAlignment="1" pivotButton="0" quotePrefix="0" xfId="0">
      <alignment horizontal="center" vertical="center" wrapText="1"/>
    </xf>
    <xf numFmtId="166" fontId="2" fillId="3" borderId="2" applyAlignment="1" pivotButton="0" quotePrefix="0" xfId="0">
      <alignment horizontal="center" vertical="center" wrapText="1"/>
    </xf>
    <xf numFmtId="4" fontId="2" fillId="3" borderId="2" applyAlignment="1" pivotButton="0" quotePrefix="0" xfId="0">
      <alignment horizontal="center" vertical="center" wrapText="1"/>
    </xf>
    <xf numFmtId="165" fontId="0" fillId="3" borderId="2" applyAlignment="1" pivotButton="0" quotePrefix="0" xfId="0">
      <alignment horizontal="center" vertical="center" wrapText="1"/>
    </xf>
    <xf numFmtId="165" fontId="7" fillId="3" borderId="2" applyAlignment="1" pivotButton="0" quotePrefix="0" xfId="0">
      <alignment horizontal="center" vertical="center" wrapText="1"/>
    </xf>
    <xf numFmtId="0" fontId="2" fillId="3" borderId="3" applyAlignment="1" pivotButton="0" quotePrefix="0" xfId="0">
      <alignment horizontal="left" vertical="center" wrapText="1"/>
    </xf>
    <xf numFmtId="165" fontId="6" fillId="4" borderId="11" applyAlignment="1" pivotButton="0" quotePrefix="0" xfId="0">
      <alignment horizontal="center" vertical="center" wrapText="1"/>
    </xf>
    <xf numFmtId="166" fontId="2" fillId="4" borderId="11" applyAlignment="1" pivotButton="0" quotePrefix="0" xfId="0">
      <alignment horizontal="center" vertical="center" wrapText="1"/>
    </xf>
    <xf numFmtId="4" fontId="2" fillId="4" borderId="11" applyAlignment="1" pivotButton="0" quotePrefix="0" xfId="0">
      <alignment horizontal="center" vertical="center" wrapText="1"/>
    </xf>
    <xf numFmtId="165" fontId="0" fillId="4" borderId="11" applyAlignment="1" pivotButton="0" quotePrefix="0" xfId="0">
      <alignment horizontal="center" vertical="center" wrapText="1"/>
    </xf>
    <xf numFmtId="165" fontId="7" fillId="4" borderId="11" applyAlignment="1" pivotButton="0" quotePrefix="0" xfId="0">
      <alignment horizontal="center" vertical="center" wrapText="1"/>
    </xf>
    <xf numFmtId="0" fontId="2" fillId="4" borderId="1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center" vertical="center" wrapText="1"/>
    </xf>
    <xf numFmtId="165" fontId="8" fillId="5" borderId="5" applyAlignment="1" pivotButton="0" quotePrefix="0" xfId="0">
      <alignment horizontal="center" vertical="center" wrapText="1"/>
    </xf>
    <xf numFmtId="165" fontId="8" fillId="5" borderId="8" applyAlignment="1" pivotButton="0" quotePrefix="0" xfId="0">
      <alignment horizontal="center" vertical="center" wrapText="1"/>
    </xf>
    <xf numFmtId="0" fontId="2" fillId="0" borderId="0" pivotButton="0" quotePrefix="0" xfId="0"/>
    <xf numFmtId="0" fontId="2" fillId="3" borderId="4" applyAlignment="1" pivotButton="0" quotePrefix="0" xfId="0">
      <alignment horizontal="center" vertical="center" wrapText="1"/>
    </xf>
    <xf numFmtId="0" fontId="2" fillId="4" borderId="4" applyAlignment="1" pivotButton="0" quotePrefix="0" xfId="0">
      <alignment horizontal="center" vertical="center" wrapText="1"/>
    </xf>
    <xf numFmtId="0" fontId="2" fillId="3" borderId="7" applyAlignment="1" pivotButton="0" quotePrefix="0" xfId="0">
      <alignment horizontal="center" vertical="center" wrapText="1"/>
    </xf>
    <xf numFmtId="167" fontId="2" fillId="3" borderId="5" applyAlignment="1" pivotButton="0" quotePrefix="0" xfId="0">
      <alignment horizontal="center" vertical="center" wrapText="1"/>
    </xf>
    <xf numFmtId="168" fontId="2" fillId="3" borderId="5" applyAlignment="1" pivotButton="0" quotePrefix="0" xfId="0">
      <alignment horizontal="center" vertical="center" wrapText="1"/>
    </xf>
    <xf numFmtId="167" fontId="2" fillId="4" borderId="5" applyAlignment="1" pivotButton="0" quotePrefix="0" xfId="0">
      <alignment horizontal="center" vertical="center" wrapText="1"/>
    </xf>
    <xf numFmtId="168" fontId="2" fillId="4" borderId="5" applyAlignment="1" pivotButton="0" quotePrefix="0" xfId="0">
      <alignment horizontal="center" vertical="center" wrapText="1"/>
    </xf>
    <xf numFmtId="0" fontId="5" fillId="3" borderId="6" applyAlignment="1" pivotButton="0" quotePrefix="0" xfId="0">
      <alignment horizontal="left" vertical="center" wrapText="1"/>
    </xf>
    <xf numFmtId="0" fontId="5" fillId="4" borderId="6" applyAlignment="1" pivotButton="0" quotePrefix="0" xfId="0">
      <alignment horizontal="left" vertical="center" wrapText="1"/>
    </xf>
    <xf numFmtId="167" fontId="2" fillId="4" borderId="8" applyAlignment="1" pivotButton="0" quotePrefix="0" xfId="0">
      <alignment horizontal="center" vertical="center" wrapText="1"/>
    </xf>
    <xf numFmtId="168" fontId="2" fillId="4" borderId="8" applyAlignment="1" pivotButton="0" quotePrefix="0" xfId="0">
      <alignment horizontal="center" vertical="center" wrapText="1"/>
    </xf>
  </cellXfs>
  <cellStyles count="1">
    <cellStyle name="Normal" xfId="0" builtinId="0" hidden="0"/>
  </cellStyles>
  <dxfs count="5">
    <dxf>
      <font>
        <b val="1"/>
        <color rgb="009C0006"/>
      </font>
    </dxf>
    <dxf>
      <font>
        <b val="1"/>
        <color rgb="00006100"/>
      </font>
    </dxf>
    <dxf>
      <font>
        <b val="1"/>
        <color rgb="00006100"/>
        <sz val="11"/>
      </font>
      <fill>
        <patternFill patternType="solid">
          <fgColor rgb="00C6EFCE"/>
          <bgColor rgb="00C6EFCE"/>
        </patternFill>
      </fill>
    </dxf>
    <dxf>
      <font>
        <b val="1"/>
        <color rgb="009C0006"/>
        <sz val="11"/>
      </font>
      <fill>
        <patternFill patternType="solid">
          <fgColor rgb="00FFC7CE"/>
          <bgColor rgb="00FFC7CE"/>
        </patternFill>
      </fill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1" ht="30" customHeight="1">
      <c r="A1" s="1" t="inlineStr">
        <is>
          <t>T (K)</t>
        </is>
      </c>
      <c r="B1" s="2" t="inlineStr">
        <is>
          <t>CeO2</t>
        </is>
      </c>
      <c r="C1" s="2" t="inlineStr">
        <is>
          <t>CaO</t>
        </is>
      </c>
      <c r="D1" s="2" t="inlineStr">
        <is>
          <t>La2O3</t>
        </is>
      </c>
      <c r="E1" s="2" t="inlineStr">
        <is>
          <t>MgO</t>
        </is>
      </c>
      <c r="F1" s="2" t="inlineStr">
        <is>
          <t>ZrO2</t>
        </is>
      </c>
      <c r="G1" s="2" t="inlineStr">
        <is>
          <t>Al2O3</t>
        </is>
      </c>
      <c r="H1" s="2" t="inlineStr">
        <is>
          <t>TiO2</t>
        </is>
      </c>
      <c r="I1" s="2" t="inlineStr">
        <is>
          <t>SiO2</t>
        </is>
      </c>
      <c r="J1" s="2" t="inlineStr">
        <is>
          <t>MnO</t>
        </is>
      </c>
      <c r="K1" s="2" t="inlineStr">
        <is>
          <t>Cr2O3</t>
        </is>
      </c>
      <c r="L1" s="2" t="inlineStr">
        <is>
          <t>V2O5</t>
        </is>
      </c>
      <c r="M1" s="2" t="inlineStr">
        <is>
          <t>FeO</t>
        </is>
      </c>
      <c r="N1" s="2" t="inlineStr">
        <is>
          <t>CoO</t>
        </is>
      </c>
      <c r="O1" s="2" t="inlineStr">
        <is>
          <t>NiO</t>
        </is>
      </c>
      <c r="P1" s="2" t="inlineStr">
        <is>
          <t>PbO</t>
        </is>
      </c>
      <c r="Q1" s="2" t="inlineStr">
        <is>
          <t>Cu2O</t>
        </is>
      </c>
      <c r="R1" s="2" t="inlineStr">
        <is>
          <t>CuO</t>
        </is>
      </c>
      <c r="S1" s="3" t="inlineStr">
        <is>
          <t>B2O3</t>
        </is>
      </c>
    </row>
    <row r="2">
      <c r="A2" s="4" t="n">
        <v>500</v>
      </c>
      <c r="B2" s="5" t="n">
        <v>-1125260.7</v>
      </c>
      <c r="C2" s="5" t="n">
        <v>-1164141.2</v>
      </c>
      <c r="D2" s="5" t="n">
        <v>-1096880.9</v>
      </c>
      <c r="E2" s="5" t="n">
        <v>-1094868.8</v>
      </c>
      <c r="F2" s="5" t="n">
        <v>-1003525.4</v>
      </c>
      <c r="G2" s="5" t="n">
        <v>-1012426.2</v>
      </c>
      <c r="H2" s="5" t="n">
        <v>-849774.2</v>
      </c>
      <c r="I2" s="5" t="n">
        <v>-819375.3</v>
      </c>
      <c r="J2" s="5" t="n">
        <v>-698101.1</v>
      </c>
      <c r="K2" s="5" t="n">
        <v>-662349.1</v>
      </c>
      <c r="L2" s="5" t="n">
        <v>-531896.2</v>
      </c>
      <c r="M2" s="5" t="n">
        <v>-472081.6</v>
      </c>
      <c r="N2" s="5" t="n">
        <v>-396614.5</v>
      </c>
      <c r="O2" s="5" t="n">
        <v>-385773</v>
      </c>
      <c r="P2" s="5" t="n">
        <v>-127614.5</v>
      </c>
      <c r="Q2" s="5" t="n">
        <v>-264411.7</v>
      </c>
      <c r="R2" s="5" t="n">
        <v>-218339.1</v>
      </c>
      <c r="S2" s="6" t="n"/>
    </row>
    <row r="3">
      <c r="A3" s="4" t="n">
        <v>550</v>
      </c>
      <c r="B3" s="7" t="n">
        <v>-1130278.5</v>
      </c>
      <c r="C3" s="7" t="n">
        <v>-1153791.1</v>
      </c>
      <c r="D3" s="7" t="n">
        <v>-1087389</v>
      </c>
      <c r="E3" s="7" t="n">
        <v>-1084110.3</v>
      </c>
      <c r="F3" s="7" t="n">
        <v>-993967.5</v>
      </c>
      <c r="G3" s="7" t="n">
        <v>-1001949.2</v>
      </c>
      <c r="H3" s="7" t="n">
        <v>-840666.4</v>
      </c>
      <c r="I3" s="7" t="n">
        <v>-810281.6</v>
      </c>
      <c r="J3" s="7" t="n">
        <v>-690730.1</v>
      </c>
      <c r="K3" s="7" t="n">
        <v>-653569.2</v>
      </c>
      <c r="L3" s="7" t="n">
        <v>-523205.6</v>
      </c>
      <c r="M3" s="7" t="n">
        <v>-463854</v>
      </c>
      <c r="N3" s="7" t="n">
        <v>-389329</v>
      </c>
      <c r="O3" s="7" t="n">
        <v>-376815.7</v>
      </c>
      <c r="P3" s="7" t="n">
        <v>-129999.3</v>
      </c>
      <c r="Q3" s="7" t="n">
        <v>-256894.6</v>
      </c>
      <c r="R3" s="7" t="n">
        <v>-209421.8</v>
      </c>
      <c r="S3" s="8" t="n"/>
    </row>
    <row r="4">
      <c r="A4" s="4" t="n">
        <v>600</v>
      </c>
      <c r="B4" s="5" t="n">
        <v>-1135625</v>
      </c>
      <c r="C4" s="5" t="n">
        <v>-1143485.5</v>
      </c>
      <c r="D4" s="5" t="n">
        <v>-1077915.8</v>
      </c>
      <c r="E4" s="5" t="n">
        <v>-1073379.6</v>
      </c>
      <c r="F4" s="5" t="n">
        <v>-984448.9</v>
      </c>
      <c r="G4" s="5" t="n">
        <v>-991493.9</v>
      </c>
      <c r="H4" s="5" t="n">
        <v>-831599.1</v>
      </c>
      <c r="I4" s="5" t="n">
        <v>-801221.9</v>
      </c>
      <c r="J4" s="5" t="n">
        <v>-683384.4</v>
      </c>
      <c r="K4" s="5" t="n">
        <v>-644845.9</v>
      </c>
      <c r="L4" s="5" t="n">
        <v>-514557</v>
      </c>
      <c r="M4" s="5" t="n">
        <v>-455726.3</v>
      </c>
      <c r="N4" s="5" t="n">
        <v>-382113.9</v>
      </c>
      <c r="O4" s="5" t="n">
        <v>-367931.9</v>
      </c>
      <c r="P4" s="5" t="n">
        <v>-132502.2</v>
      </c>
      <c r="Q4" s="5" t="n">
        <v>-249412.4</v>
      </c>
      <c r="R4" s="5" t="n">
        <v>-200577.3</v>
      </c>
      <c r="S4" s="9" t="n">
        <v>-742844.6</v>
      </c>
    </row>
    <row r="5">
      <c r="A5" s="4" t="n">
        <v>650</v>
      </c>
      <c r="B5" s="7" t="n">
        <v>-1141277.3</v>
      </c>
      <c r="C5" s="7" t="n">
        <v>-1133215.8</v>
      </c>
      <c r="D5" s="7" t="n">
        <v>-1068500.9</v>
      </c>
      <c r="E5" s="7" t="n">
        <v>-1062674.7</v>
      </c>
      <c r="F5" s="7" t="n">
        <v>-974966.9</v>
      </c>
      <c r="G5" s="7" t="n">
        <v>-981061.2</v>
      </c>
      <c r="H5" s="7" t="n">
        <v>-822570</v>
      </c>
      <c r="I5" s="7" t="n">
        <v>-792196.6</v>
      </c>
      <c r="J5" s="7" t="n">
        <v>-676058.4</v>
      </c>
      <c r="K5" s="7" t="n">
        <v>-636173.7</v>
      </c>
      <c r="L5" s="7" t="n">
        <v>-505948.5</v>
      </c>
      <c r="M5" s="7" t="n">
        <v>-447699.4</v>
      </c>
      <c r="N5" s="7" t="n">
        <v>-374960.9</v>
      </c>
      <c r="O5" s="7" t="n">
        <v>-359072.8</v>
      </c>
      <c r="P5" s="7" t="n">
        <v>-135117.1</v>
      </c>
      <c r="Q5" s="7" t="n">
        <v>-241965.3</v>
      </c>
      <c r="R5" s="7" t="n">
        <v>-191801.6</v>
      </c>
      <c r="S5" s="8" t="n"/>
    </row>
    <row r="6">
      <c r="A6" s="4" t="n">
        <v>700</v>
      </c>
      <c r="B6" s="5" t="n">
        <v>-1147215.1</v>
      </c>
      <c r="C6" s="5" t="n">
        <v>-1122973.4</v>
      </c>
      <c r="D6" s="5" t="n">
        <v>-1059138.5</v>
      </c>
      <c r="E6" s="5" t="n">
        <v>-1051992.4</v>
      </c>
      <c r="F6" s="5" t="n">
        <v>-965518.7</v>
      </c>
      <c r="G6" s="5" t="n">
        <v>-970650.8</v>
      </c>
      <c r="H6" s="5" t="n">
        <v>-813576.3</v>
      </c>
      <c r="I6" s="5" t="n">
        <v>-783206</v>
      </c>
      <c r="J6" s="5" t="n">
        <v>-668746.8</v>
      </c>
      <c r="K6" s="5" t="n">
        <v>-627547.5</v>
      </c>
      <c r="L6" s="5" t="n">
        <v>-497378.6</v>
      </c>
      <c r="M6" s="5" t="n">
        <v>-439775.6</v>
      </c>
      <c r="N6" s="5" t="n">
        <v>-367856.4</v>
      </c>
      <c r="O6" s="5" t="n">
        <v>-350253.5</v>
      </c>
      <c r="P6" s="5" t="n">
        <v>-137846.2</v>
      </c>
      <c r="Q6" s="5" t="n">
        <v>-234553.5</v>
      </c>
      <c r="R6" s="5" t="n">
        <v>-183090.7</v>
      </c>
      <c r="S6" s="6" t="n"/>
    </row>
    <row r="7">
      <c r="A7" s="4" t="n">
        <v>750</v>
      </c>
      <c r="B7" s="7" t="n">
        <v>-1153421</v>
      </c>
      <c r="C7" s="7" t="n">
        <v>-1112664.6</v>
      </c>
      <c r="D7" s="7" t="n">
        <v>-1049823.1</v>
      </c>
      <c r="E7" s="7" t="n">
        <v>-1041329.6</v>
      </c>
      <c r="F7" s="7" t="n">
        <v>-956101.7</v>
      </c>
      <c r="G7" s="7" t="n">
        <v>-960261.3</v>
      </c>
      <c r="H7" s="7" t="n">
        <v>-804614.9</v>
      </c>
      <c r="I7" s="7" t="n">
        <v>-774252.5</v>
      </c>
      <c r="J7" s="7" t="n">
        <v>-661445.3</v>
      </c>
      <c r="K7" s="7" t="n">
        <v>-618962.2</v>
      </c>
      <c r="L7" s="7" t="n">
        <v>-488846.7</v>
      </c>
      <c r="M7" s="7" t="n">
        <v>-431959.3</v>
      </c>
      <c r="N7" s="7" t="n">
        <v>-360744.7</v>
      </c>
      <c r="O7" s="7" t="n">
        <v>-341486.7</v>
      </c>
      <c r="P7" s="7" t="n">
        <v>-140671.2</v>
      </c>
      <c r="Q7" s="7" t="n">
        <v>-227176.7</v>
      </c>
      <c r="R7" s="7" t="n">
        <v>-174441.1</v>
      </c>
      <c r="S7" s="10" t="n">
        <v>-717218.7</v>
      </c>
    </row>
    <row r="8">
      <c r="A8" s="4" t="n">
        <v>800</v>
      </c>
      <c r="B8" s="5" t="n">
        <v>-1159879.6</v>
      </c>
      <c r="C8" s="5" t="n">
        <v>-1102333.1</v>
      </c>
      <c r="D8" s="5" t="n">
        <v>-1040550.2</v>
      </c>
      <c r="E8" s="5" t="n">
        <v>-1030682.8</v>
      </c>
      <c r="F8" s="5" t="n">
        <v>-946713.5</v>
      </c>
      <c r="G8" s="5" t="n">
        <v>-949890.9</v>
      </c>
      <c r="H8" s="5" t="n">
        <v>-795683.2</v>
      </c>
      <c r="I8" s="5" t="n">
        <v>-765342.1</v>
      </c>
      <c r="J8" s="5" t="n">
        <v>-654150</v>
      </c>
      <c r="K8" s="5" t="n">
        <v>-610413.5</v>
      </c>
      <c r="L8" s="5" t="n">
        <v>-480352.4</v>
      </c>
      <c r="M8" s="5" t="n">
        <v>-424258.6</v>
      </c>
      <c r="N8" s="5" t="n">
        <v>-353675.3</v>
      </c>
      <c r="O8" s="5" t="n">
        <v>-332770.9</v>
      </c>
      <c r="P8" s="5" t="n">
        <v>-143586.9</v>
      </c>
      <c r="Q8" s="5" t="n">
        <v>-219834.7</v>
      </c>
      <c r="R8" s="5" t="n">
        <v>-165849.3</v>
      </c>
      <c r="S8" s="6" t="n"/>
    </row>
    <row r="9">
      <c r="A9" s="4" t="n">
        <v>850</v>
      </c>
      <c r="B9" s="7" t="n">
        <v>-1166577.3</v>
      </c>
      <c r="C9" s="7" t="n">
        <v>-1092012.2</v>
      </c>
      <c r="D9" s="7" t="n">
        <v>-1031315.6</v>
      </c>
      <c r="E9" s="7" t="n">
        <v>-1020048.8</v>
      </c>
      <c r="F9" s="7" t="n">
        <v>-937351.7</v>
      </c>
      <c r="G9" s="7" t="n">
        <v>-939536.8</v>
      </c>
      <c r="H9" s="7" t="n">
        <v>-786778.5</v>
      </c>
      <c r="I9" s="7" t="n">
        <v>-756487.3</v>
      </c>
      <c r="J9" s="7" t="n">
        <v>-646857.7</v>
      </c>
      <c r="K9" s="7" t="n">
        <v>-601897.1</v>
      </c>
      <c r="L9" s="7" t="n">
        <v>-471896.1</v>
      </c>
      <c r="M9" s="7" t="n">
        <v>-431625.1</v>
      </c>
      <c r="N9" s="7" t="n">
        <v>-346642.7</v>
      </c>
      <c r="O9" s="7" t="n">
        <v>-324103</v>
      </c>
      <c r="P9" s="7" t="n">
        <v>-146588.8</v>
      </c>
      <c r="Q9" s="7" t="n">
        <v>-212527.5</v>
      </c>
      <c r="R9" s="7" t="n">
        <v>-157312.6</v>
      </c>
      <c r="S9" s="8" t="n"/>
    </row>
    <row r="10">
      <c r="A10" s="4" t="n">
        <v>900</v>
      </c>
      <c r="B10" s="5" t="n">
        <v>-1173501.8</v>
      </c>
      <c r="C10" s="5" t="n">
        <v>-1081693.3</v>
      </c>
      <c r="D10" s="5" t="n">
        <v>-1022115.5</v>
      </c>
      <c r="E10" s="5" t="n">
        <v>-1009424.2</v>
      </c>
      <c r="F10" s="5" t="n">
        <v>-928014.5</v>
      </c>
      <c r="G10" s="5" t="n">
        <v>-929195.6</v>
      </c>
      <c r="H10" s="5" t="n">
        <v>-777898.2</v>
      </c>
      <c r="I10" s="5" t="n">
        <v>-747698</v>
      </c>
      <c r="J10" s="5" t="n">
        <v>-639565.5</v>
      </c>
      <c r="K10" s="5" t="n">
        <v>-593409.2</v>
      </c>
      <c r="L10" s="5" t="n">
        <v>-463478.3</v>
      </c>
      <c r="M10" s="5" t="n">
        <v>-424644.7</v>
      </c>
      <c r="N10" s="5" t="n">
        <v>-339641.5</v>
      </c>
      <c r="O10" s="5" t="n">
        <v>-315479.7</v>
      </c>
      <c r="P10" s="5" t="n">
        <v>-149672.9</v>
      </c>
      <c r="Q10" s="5" t="n">
        <v>-205254.9</v>
      </c>
      <c r="R10" s="5" t="n">
        <v>-148828.1</v>
      </c>
      <c r="S10" s="6" t="n"/>
    </row>
    <row r="11">
      <c r="A11" s="4" t="n">
        <v>950</v>
      </c>
      <c r="B11" s="7" t="n">
        <v>-1180642.5</v>
      </c>
      <c r="C11" s="7" t="n">
        <v>-1071369</v>
      </c>
      <c r="D11" s="7" t="n">
        <v>-1012946.7</v>
      </c>
      <c r="E11" s="7" t="n">
        <v>-998308.4</v>
      </c>
      <c r="F11" s="7" t="n">
        <v>-918699.8</v>
      </c>
      <c r="G11" s="7" t="n">
        <v>-918613.4</v>
      </c>
      <c r="H11" s="7" t="n">
        <v>-769040.1</v>
      </c>
      <c r="I11" s="7" t="n">
        <v>-738930.2</v>
      </c>
      <c r="J11" s="7" t="n">
        <v>-632270.8</v>
      </c>
      <c r="K11" s="7" t="n">
        <v>-584946.2</v>
      </c>
      <c r="L11" s="7" t="n">
        <v>-455100.2</v>
      </c>
      <c r="M11" s="7" t="n">
        <v>-417866</v>
      </c>
      <c r="N11" s="7" t="n">
        <v>-332666.5</v>
      </c>
      <c r="O11" s="7" t="n">
        <v>-306897.3</v>
      </c>
      <c r="P11" s="7" t="n">
        <v>-152835.5</v>
      </c>
      <c r="Q11" s="7" t="n">
        <v>-198016.7</v>
      </c>
      <c r="R11" s="7" t="n">
        <v>-140393.7</v>
      </c>
      <c r="S11" s="8" t="n"/>
    </row>
    <row r="12">
      <c r="A12" s="4" t="n">
        <v>1000</v>
      </c>
      <c r="B12" s="5" t="n">
        <v>-1187989.4</v>
      </c>
      <c r="C12" s="5" t="n">
        <v>-1061032.2</v>
      </c>
      <c r="D12" s="5" t="n">
        <v>-1003806.2</v>
      </c>
      <c r="E12" s="5" t="n">
        <v>-986765.6</v>
      </c>
      <c r="F12" s="5" t="n">
        <v>-909406.2</v>
      </c>
      <c r="G12" s="5" t="n">
        <v>-907530.3</v>
      </c>
      <c r="H12" s="5" t="n">
        <v>-760201.9</v>
      </c>
      <c r="I12" s="5" t="n">
        <v>-730182.7</v>
      </c>
      <c r="J12" s="5" t="n">
        <v>-624880.1</v>
      </c>
      <c r="K12" s="5" t="n">
        <v>-576506.2</v>
      </c>
      <c r="L12" s="5" t="n">
        <v>-448031.6</v>
      </c>
      <c r="M12" s="5" t="n">
        <v>-411191.6</v>
      </c>
      <c r="N12" s="5" t="n">
        <v>-325712.6</v>
      </c>
      <c r="O12" s="5" t="n">
        <v>-298353.9</v>
      </c>
      <c r="P12" s="5" t="n">
        <v>-156073.6</v>
      </c>
      <c r="Q12" s="5" t="n">
        <v>-190813</v>
      </c>
      <c r="R12" s="5" t="n">
        <v>-132007.1</v>
      </c>
      <c r="S12" s="6" t="n"/>
    </row>
    <row r="13">
      <c r="A13" s="4" t="n">
        <v>1050</v>
      </c>
      <c r="B13" s="7" t="n">
        <v>-1195533.7</v>
      </c>
      <c r="C13" s="7" t="n">
        <v>-1050676.5</v>
      </c>
      <c r="D13" s="7" t="n">
        <v>-994691.3</v>
      </c>
      <c r="E13" s="7" t="n">
        <v>-975218.2</v>
      </c>
      <c r="F13" s="7" t="n">
        <v>-900132.1</v>
      </c>
      <c r="G13" s="7" t="n">
        <v>-896462.1</v>
      </c>
      <c r="H13" s="7" t="n">
        <v>-751381.6</v>
      </c>
      <c r="I13" s="7" t="n">
        <v>-721454.5</v>
      </c>
      <c r="J13" s="7" t="n">
        <v>-617351.5</v>
      </c>
      <c r="K13" s="7" t="n">
        <v>-568083.6</v>
      </c>
      <c r="L13" s="7" t="n">
        <v>-441107</v>
      </c>
      <c r="M13" s="7" t="n">
        <v>-404558</v>
      </c>
      <c r="N13" s="7" t="n">
        <v>-318774.8</v>
      </c>
      <c r="O13" s="7" t="n">
        <v>-289843</v>
      </c>
      <c r="P13" s="7" t="n">
        <v>-159384</v>
      </c>
      <c r="Q13" s="7" t="n">
        <v>-183643.7</v>
      </c>
      <c r="R13" s="7" t="n">
        <v>-123666.5</v>
      </c>
      <c r="S13" s="8" t="n"/>
    </row>
    <row r="14">
      <c r="A14" s="4" t="n">
        <v>1100</v>
      </c>
      <c r="B14" s="5" t="n">
        <v>-1203267.4</v>
      </c>
      <c r="C14" s="5" t="n">
        <v>-1040296.1</v>
      </c>
      <c r="D14" s="5" t="n">
        <v>-985599.6</v>
      </c>
      <c r="E14" s="5" t="n">
        <v>-963667.3</v>
      </c>
      <c r="F14" s="5" t="n">
        <v>-890876.2</v>
      </c>
      <c r="G14" s="5" t="n">
        <v>-885409.2</v>
      </c>
      <c r="H14" s="5" t="n">
        <v>-742577.2</v>
      </c>
      <c r="I14" s="5" t="n">
        <v>-712744.8</v>
      </c>
      <c r="J14" s="5" t="n">
        <v>-609823.1</v>
      </c>
      <c r="K14" s="5" t="n">
        <v>-559676.7</v>
      </c>
      <c r="L14" s="5" t="n">
        <v>-434237.4</v>
      </c>
      <c r="M14" s="5" t="n">
        <v>-397939.9</v>
      </c>
      <c r="N14" s="5" t="n">
        <v>-311847.7</v>
      </c>
      <c r="O14" s="5" t="n">
        <v>-281362.9</v>
      </c>
      <c r="P14" s="5" t="n">
        <v>-162764.3</v>
      </c>
      <c r="Q14" s="5" t="n">
        <v>-176508.8</v>
      </c>
      <c r="R14" s="5" t="n">
        <v>-115370.2</v>
      </c>
      <c r="S14" s="6" t="n"/>
    </row>
    <row r="15">
      <c r="A15" s="4" t="n">
        <v>1150</v>
      </c>
      <c r="B15" s="7" t="n">
        <v>-1211183.1</v>
      </c>
      <c r="C15" s="7" t="n">
        <v>-1029349.8</v>
      </c>
      <c r="D15" s="7" t="n">
        <v>-976475.8</v>
      </c>
      <c r="E15" s="7" t="n">
        <v>-952114</v>
      </c>
      <c r="F15" s="7" t="n">
        <v>-881599</v>
      </c>
      <c r="G15" s="7" t="n">
        <v>-874371.6</v>
      </c>
      <c r="H15" s="7" t="n">
        <v>-733787</v>
      </c>
      <c r="I15" s="7" t="n">
        <v>-704066.6</v>
      </c>
      <c r="J15" s="7" t="n">
        <v>-602293.5</v>
      </c>
      <c r="K15" s="7" t="n">
        <v>-551282.8</v>
      </c>
      <c r="L15" s="7" t="n">
        <v>-427426</v>
      </c>
      <c r="M15" s="7" t="n">
        <v>-391340.8</v>
      </c>
      <c r="N15" s="7" t="n">
        <v>-304926</v>
      </c>
      <c r="O15" s="7" t="n">
        <v>-272911</v>
      </c>
      <c r="P15" s="7" t="n">
        <v>-166212.1</v>
      </c>
      <c r="Q15" s="7" t="n">
        <v>-169408.4</v>
      </c>
      <c r="R15" s="7" t="n">
        <v>-107116.7</v>
      </c>
      <c r="S15" s="8" t="n"/>
    </row>
    <row r="16">
      <c r="A16" s="4" t="n">
        <v>1200</v>
      </c>
      <c r="B16" s="5" t="n">
        <v>-1219274.1</v>
      </c>
      <c r="C16" s="5" t="n">
        <v>-1018185.3</v>
      </c>
      <c r="D16" s="5" t="n">
        <v>-967180</v>
      </c>
      <c r="E16" s="5" t="n">
        <v>-940559</v>
      </c>
      <c r="F16" s="5" t="n">
        <v>-872205.7</v>
      </c>
      <c r="G16" s="5" t="n">
        <v>-863349.5</v>
      </c>
      <c r="H16" s="5" t="n">
        <v>-724852.2</v>
      </c>
      <c r="I16" s="5" t="n">
        <v>-695488.7</v>
      </c>
      <c r="J16" s="5" t="n">
        <v>-594761.8</v>
      </c>
      <c r="K16" s="5" t="n">
        <v>-542899.6</v>
      </c>
      <c r="L16" s="5" t="n">
        <v>-420677.3</v>
      </c>
      <c r="M16" s="5" t="n">
        <v>-384744.8</v>
      </c>
      <c r="N16" s="5" t="n">
        <v>-298003.9</v>
      </c>
      <c r="O16" s="5" t="n">
        <v>-264485</v>
      </c>
      <c r="P16" s="5" t="n">
        <v>-170142.4</v>
      </c>
      <c r="Q16" s="5" t="n">
        <v>-162342.3</v>
      </c>
      <c r="R16" s="5" t="n">
        <v>-98904.39999999999</v>
      </c>
      <c r="S16" s="6" t="n"/>
    </row>
    <row r="17">
      <c r="A17" s="4" t="n">
        <v>1250</v>
      </c>
      <c r="B17" s="7" t="n">
        <v>-1227534.3</v>
      </c>
      <c r="C17" s="7" t="n">
        <v>-1007026.2</v>
      </c>
      <c r="D17" s="7" t="n">
        <v>-957605</v>
      </c>
      <c r="E17" s="7" t="n">
        <v>-929003.2</v>
      </c>
      <c r="F17" s="7" t="n">
        <v>-862841</v>
      </c>
      <c r="G17" s="7" t="n">
        <v>-852343</v>
      </c>
      <c r="H17" s="7" t="n">
        <v>-715920.4</v>
      </c>
      <c r="I17" s="7" t="n">
        <v>-686925.6</v>
      </c>
      <c r="J17" s="7" t="n">
        <v>-587227.2</v>
      </c>
      <c r="K17" s="7" t="n">
        <v>-534524.4</v>
      </c>
      <c r="L17" s="7" t="n">
        <v>-413996.9</v>
      </c>
      <c r="M17" s="7" t="n">
        <v>-378141.1</v>
      </c>
      <c r="N17" s="7" t="n">
        <v>-291074.9</v>
      </c>
      <c r="O17" s="7" t="n">
        <v>-256082.9</v>
      </c>
      <c r="P17" s="7" t="n">
        <v>-174281</v>
      </c>
      <c r="Q17" s="7" t="n">
        <v>-155310.5</v>
      </c>
      <c r="R17" s="7" t="n">
        <v>-90732.10000000001</v>
      </c>
      <c r="S17" s="8" t="n"/>
    </row>
    <row r="18">
      <c r="A18" s="4" t="n">
        <v>1300</v>
      </c>
      <c r="B18" s="5" t="n">
        <v>-1235957.8</v>
      </c>
      <c r="C18" s="5" t="n">
        <v>-995872.7</v>
      </c>
      <c r="D18" s="5" t="n">
        <v>-948051.9</v>
      </c>
      <c r="E18" s="5" t="n">
        <v>-917447.4</v>
      </c>
      <c r="F18" s="5" t="n">
        <v>-853503.8</v>
      </c>
      <c r="G18" s="5" t="n">
        <v>-841352.1</v>
      </c>
      <c r="H18" s="5" t="n">
        <v>-707009.1</v>
      </c>
      <c r="I18" s="5" t="n">
        <v>-678376.4</v>
      </c>
      <c r="J18" s="5" t="n">
        <v>-579688.8</v>
      </c>
      <c r="K18" s="5" t="n">
        <v>-526155</v>
      </c>
      <c r="L18" s="5" t="n">
        <v>-407391.8</v>
      </c>
      <c r="M18" s="5" t="n">
        <v>-371571.7</v>
      </c>
      <c r="N18" s="5" t="n">
        <v>-284131.7</v>
      </c>
      <c r="O18" s="5" t="n">
        <v>-247703</v>
      </c>
      <c r="P18" s="5" t="n">
        <v>-178484.6</v>
      </c>
      <c r="Q18" s="5" t="n">
        <v>-148313.2</v>
      </c>
      <c r="R18" s="5" t="n">
        <v>-82598.7</v>
      </c>
      <c r="S18" s="6" t="n"/>
    </row>
    <row r="19">
      <c r="A19" s="4" t="n">
        <v>1350</v>
      </c>
      <c r="B19" s="7" t="n">
        <v>-1244539.5</v>
      </c>
      <c r="C19" s="7" t="n">
        <v>-984724.8</v>
      </c>
      <c r="D19" s="7" t="n">
        <v>-938520.9</v>
      </c>
      <c r="E19" s="7" t="n">
        <v>-905892.2</v>
      </c>
      <c r="F19" s="7" t="n">
        <v>-844193.1</v>
      </c>
      <c r="G19" s="7" t="n">
        <v>-830376.9</v>
      </c>
      <c r="H19" s="7" t="n">
        <v>-698117.1</v>
      </c>
      <c r="I19" s="7" t="n">
        <v>-669840.3</v>
      </c>
      <c r="J19" s="7" t="n">
        <v>-572145.9</v>
      </c>
      <c r="K19" s="7" t="n">
        <v>-517789.2</v>
      </c>
      <c r="L19" s="7" t="n">
        <v>-400869.4</v>
      </c>
      <c r="M19" s="7" t="n">
        <v>-365035</v>
      </c>
      <c r="N19" s="7" t="n">
        <v>-277165.8</v>
      </c>
      <c r="O19" s="7" t="n">
        <v>-239343.9</v>
      </c>
      <c r="P19" s="7" t="n">
        <v>-182750.6</v>
      </c>
      <c r="Q19" s="7" t="n">
        <v>-141351.2</v>
      </c>
      <c r="R19" s="7" t="n">
        <v>-74503.39999999999</v>
      </c>
      <c r="S19" s="8" t="n"/>
    </row>
    <row r="20">
      <c r="A20" s="4" t="n">
        <v>1400</v>
      </c>
      <c r="B20" s="5" t="n">
        <v>-1253274.4</v>
      </c>
      <c r="C20" s="5" t="n">
        <v>-973582.7</v>
      </c>
      <c r="D20" s="5" t="n">
        <v>-929012.1</v>
      </c>
      <c r="E20" s="5" t="n">
        <v>-892079</v>
      </c>
      <c r="F20" s="5" t="n">
        <v>-835039.9</v>
      </c>
      <c r="G20" s="5" t="n">
        <v>-819417.2</v>
      </c>
      <c r="H20" s="5" t="n">
        <v>-689243</v>
      </c>
      <c r="I20" s="5" t="n">
        <v>-661316.4</v>
      </c>
      <c r="J20" s="5" t="n">
        <v>-564470.5</v>
      </c>
      <c r="K20" s="5" t="n">
        <v>-509424.6</v>
      </c>
      <c r="L20" s="5" t="n">
        <v>-394437.5</v>
      </c>
      <c r="M20" s="5" t="n">
        <v>-358529.9</v>
      </c>
      <c r="N20" s="5" t="n">
        <v>-270166.7</v>
      </c>
      <c r="O20" s="5" t="n">
        <v>-231004.6</v>
      </c>
      <c r="P20" s="5" t="n">
        <v>-187076.9</v>
      </c>
      <c r="Q20" s="5" t="n">
        <v>-132763.3</v>
      </c>
      <c r="R20" s="5" t="n">
        <v>-68767.89999999999</v>
      </c>
      <c r="S20" s="6" t="n"/>
    </row>
    <row r="21">
      <c r="A21" s="4" t="n">
        <v>1450</v>
      </c>
      <c r="B21" s="7" t="n">
        <v>-1262157.9</v>
      </c>
      <c r="C21" s="7" t="n">
        <v>-962446.4</v>
      </c>
      <c r="D21" s="7" t="n">
        <v>-919525.6</v>
      </c>
      <c r="E21" s="7" t="n">
        <v>-871697</v>
      </c>
      <c r="F21" s="7" t="n">
        <v>-825979.3</v>
      </c>
      <c r="G21" s="7" t="n">
        <v>-808473.1</v>
      </c>
      <c r="H21" s="7" t="n">
        <v>-680385.6</v>
      </c>
      <c r="I21" s="7" t="n">
        <v>-652804.3</v>
      </c>
      <c r="J21" s="7" t="n">
        <v>-556648.6</v>
      </c>
      <c r="K21" s="7" t="n">
        <v>-501059.2</v>
      </c>
      <c r="L21" s="7" t="n">
        <v>-388103.5</v>
      </c>
      <c r="M21" s="7" t="n">
        <v>-352055.2</v>
      </c>
      <c r="N21" s="7" t="n">
        <v>-263154.8</v>
      </c>
      <c r="O21" s="7" t="n">
        <v>-222684.3</v>
      </c>
      <c r="P21" s="7" t="n">
        <v>-191461.3</v>
      </c>
      <c r="Q21" s="7" t="n">
        <v>-123906.4</v>
      </c>
      <c r="R21" s="7" t="n">
        <v>-65953.60000000001</v>
      </c>
      <c r="S21" s="8" t="n"/>
    </row>
    <row r="22">
      <c r="A22" s="4" t="n">
        <v>1500</v>
      </c>
      <c r="B22" s="5" t="n">
        <v>-1271185.9</v>
      </c>
      <c r="C22" s="5" t="n">
        <v>-951316.2</v>
      </c>
      <c r="D22" s="5" t="n">
        <v>-910061.4</v>
      </c>
      <c r="E22" s="5" t="n">
        <v>-851363.9</v>
      </c>
      <c r="F22" s="5" t="n">
        <v>-816942.4</v>
      </c>
      <c r="G22" s="5" t="n">
        <v>-797544.5</v>
      </c>
      <c r="H22" s="5" t="n">
        <v>-671543.7</v>
      </c>
      <c r="I22" s="5" t="n">
        <v>-644303.5</v>
      </c>
      <c r="J22" s="5" t="n">
        <v>-548779.1</v>
      </c>
      <c r="K22" s="5" t="n">
        <v>-492690.9</v>
      </c>
      <c r="L22" s="5" t="n">
        <v>-381874.1</v>
      </c>
      <c r="M22" s="5" t="n">
        <v>-345610.1</v>
      </c>
      <c r="N22" s="5" t="n">
        <v>-256156.2</v>
      </c>
      <c r="O22" s="5" t="n">
        <v>-214382.4</v>
      </c>
      <c r="P22" s="5" t="n">
        <v>-195901.7</v>
      </c>
      <c r="Q22" s="5" t="n">
        <v>-114875.8</v>
      </c>
      <c r="R22" s="5" t="n">
        <v>-63144.6</v>
      </c>
      <c r="S22" s="6" t="n"/>
    </row>
    <row r="23">
      <c r="A23" s="4" t="n">
        <v>1550</v>
      </c>
      <c r="B23" s="7" t="n">
        <v>-1280354.4</v>
      </c>
      <c r="C23" s="7" t="n">
        <v>-940191.9</v>
      </c>
      <c r="D23" s="7" t="n">
        <v>-900619.6</v>
      </c>
      <c r="E23" s="7" t="n">
        <v>-831078.4</v>
      </c>
      <c r="F23" s="7" t="n">
        <v>-807928.2</v>
      </c>
      <c r="G23" s="7" t="n">
        <v>-786631.4</v>
      </c>
      <c r="H23" s="7" t="n">
        <v>-662716.3</v>
      </c>
      <c r="I23" s="7" t="n">
        <v>-635813.7</v>
      </c>
      <c r="J23" s="7" t="n">
        <v>-540357.2</v>
      </c>
      <c r="K23" s="7" t="n">
        <v>-484317.5</v>
      </c>
      <c r="L23" s="7" t="n">
        <v>-375754.7</v>
      </c>
      <c r="M23" s="7" t="n">
        <v>-339193.5</v>
      </c>
      <c r="N23" s="7" t="n">
        <v>-249176.7</v>
      </c>
      <c r="O23" s="7" t="n">
        <v>-206098.6</v>
      </c>
      <c r="P23" s="7" t="n">
        <v>-200396.2</v>
      </c>
      <c r="Q23" s="7" t="n">
        <v>-110381.2</v>
      </c>
      <c r="R23" s="7" t="n">
        <v>-60342.2</v>
      </c>
      <c r="S23" s="8" t="n"/>
    </row>
    <row r="24">
      <c r="A24" s="4" t="n">
        <v>1600</v>
      </c>
      <c r="B24" s="5" t="n">
        <v>-1289659.6</v>
      </c>
      <c r="C24" s="5" t="n">
        <v>-929073.8</v>
      </c>
      <c r="D24" s="5" t="n">
        <v>-891200.3</v>
      </c>
      <c r="E24" s="5" t="n">
        <v>-810839.5</v>
      </c>
      <c r="F24" s="5" t="n">
        <v>-798935.9</v>
      </c>
      <c r="G24" s="5" t="n">
        <v>-775733.5</v>
      </c>
      <c r="H24" s="5" t="n">
        <v>-653902.4</v>
      </c>
      <c r="I24" s="5" t="n">
        <v>-627334.7</v>
      </c>
      <c r="J24" s="5" t="n">
        <v>-531595.6</v>
      </c>
      <c r="K24" s="5" t="n">
        <v>-475937.2</v>
      </c>
      <c r="L24" s="5" t="n">
        <v>-369749.3</v>
      </c>
      <c r="M24" s="5" t="n">
        <v>-332804.6</v>
      </c>
      <c r="N24" s="5" t="n">
        <v>-242220.2</v>
      </c>
      <c r="O24" s="5" t="n">
        <v>-197832.9</v>
      </c>
      <c r="P24" s="5" t="n">
        <v>-204943.2</v>
      </c>
      <c r="Q24" s="5" t="n">
        <v>-105855</v>
      </c>
      <c r="R24" s="5" t="n">
        <v>-57547.9</v>
      </c>
      <c r="S24" s="6" t="n"/>
    </row>
    <row r="25">
      <c r="A25" s="4" t="n">
        <v>1650</v>
      </c>
      <c r="B25" s="7" t="n">
        <v>-1299098</v>
      </c>
      <c r="C25" s="7" t="n">
        <v>-917961.7</v>
      </c>
      <c r="D25" s="7" t="n">
        <v>-881803.5</v>
      </c>
      <c r="E25" s="7" t="n">
        <v>-790646.3</v>
      </c>
      <c r="F25" s="7" t="n">
        <v>-789964.6</v>
      </c>
      <c r="G25" s="7" t="n">
        <v>-764850.7</v>
      </c>
      <c r="H25" s="7" t="n">
        <v>-645101.2</v>
      </c>
      <c r="I25" s="7" t="n">
        <v>-618866.6</v>
      </c>
      <c r="J25" s="7" t="n">
        <v>-522813.4</v>
      </c>
      <c r="K25" s="7" t="n">
        <v>-467548</v>
      </c>
      <c r="L25" s="7" t="n">
        <v>-363860</v>
      </c>
      <c r="M25" s="7" t="n">
        <v>-314097.2</v>
      </c>
      <c r="N25" s="7" t="n">
        <v>-235289.7</v>
      </c>
      <c r="O25" s="7" t="n">
        <v>-189585.5</v>
      </c>
      <c r="P25" s="7" t="n">
        <v>-209541</v>
      </c>
      <c r="Q25" s="7" t="n">
        <v>-101299</v>
      </c>
      <c r="R25" s="7" t="n">
        <v>-54763.1</v>
      </c>
      <c r="S25" s="10" t="n">
        <v>-589115.4</v>
      </c>
    </row>
    <row r="26">
      <c r="A26" s="4" t="n">
        <v>1700</v>
      </c>
      <c r="B26" s="5" t="n">
        <v>-1308666.4</v>
      </c>
      <c r="C26" s="5" t="n">
        <v>-906855.9</v>
      </c>
      <c r="D26" s="5" t="n">
        <v>-872429.2</v>
      </c>
      <c r="E26" s="5" t="n">
        <v>-770497.7</v>
      </c>
      <c r="F26" s="5" t="n">
        <v>-781013.5</v>
      </c>
      <c r="G26" s="5" t="n">
        <v>-753982.8</v>
      </c>
      <c r="H26" s="5" t="n">
        <v>-636311.9</v>
      </c>
      <c r="I26" s="5" t="n">
        <v>-610022.4</v>
      </c>
      <c r="J26" s="5" t="n">
        <v>-514012.6</v>
      </c>
      <c r="K26" s="5" t="n">
        <v>-459148.1</v>
      </c>
      <c r="L26" s="5" t="n">
        <v>-358087.5</v>
      </c>
      <c r="M26" s="5" t="n">
        <v>-309775.2</v>
      </c>
      <c r="N26" s="5" t="n">
        <v>-228387.3</v>
      </c>
      <c r="O26" s="5" t="n">
        <v>-181356.8</v>
      </c>
      <c r="P26" s="5" t="n">
        <v>-214188</v>
      </c>
      <c r="Q26" s="5" t="n">
        <v>-96714.8</v>
      </c>
      <c r="R26" s="5" t="n">
        <v>-51989</v>
      </c>
      <c r="S26" s="9" t="n">
        <v>-582253.4</v>
      </c>
    </row>
    <row r="27">
      <c r="A27" s="4" t="n">
        <v>1750</v>
      </c>
      <c r="B27" s="7" t="n">
        <v>-1318361.6</v>
      </c>
      <c r="C27" s="7" t="n">
        <v>-895756.1</v>
      </c>
      <c r="D27" s="7" t="n">
        <v>-863077.4</v>
      </c>
      <c r="E27" s="7" t="n">
        <v>-750392.8</v>
      </c>
      <c r="F27" s="7" t="n">
        <v>-772081.6</v>
      </c>
      <c r="G27" s="7" t="n">
        <v>-743129.7</v>
      </c>
      <c r="H27" s="7" t="n">
        <v>-627534</v>
      </c>
      <c r="I27" s="7" t="n">
        <v>-600092.1</v>
      </c>
      <c r="J27" s="7" t="n">
        <v>-505195.2</v>
      </c>
      <c r="K27" s="7" t="n">
        <v>-450735.3</v>
      </c>
      <c r="L27" s="7" t="n">
        <v>-352430.5</v>
      </c>
      <c r="M27" s="7" t="n">
        <v>-305498</v>
      </c>
      <c r="N27" s="7" t="n">
        <v>-221514.9</v>
      </c>
      <c r="O27" s="7" t="n">
        <v>-172702.1</v>
      </c>
      <c r="P27" s="7" t="n">
        <v>-218882.9</v>
      </c>
      <c r="Q27" s="7" t="n">
        <v>-92104.2</v>
      </c>
      <c r="R27" s="7" t="n">
        <v>-49227.1</v>
      </c>
      <c r="S27" s="8" t="n"/>
    </row>
    <row r="28">
      <c r="A28" s="4" t="n">
        <v>1800</v>
      </c>
      <c r="B28" s="5" t="n">
        <v>-1328180.8</v>
      </c>
      <c r="C28" s="5" t="n">
        <v>-878778</v>
      </c>
      <c r="D28" s="5" t="n">
        <v>-853747.9</v>
      </c>
      <c r="E28" s="5" t="n">
        <v>-730330.9</v>
      </c>
      <c r="F28" s="5" t="n">
        <v>-763168.1</v>
      </c>
      <c r="G28" s="5" t="n">
        <v>-732291.1</v>
      </c>
      <c r="H28" s="5" t="n">
        <v>-618767</v>
      </c>
      <c r="I28" s="5" t="n">
        <v>-590189.3</v>
      </c>
      <c r="J28" s="5" t="n">
        <v>-496362.9</v>
      </c>
      <c r="K28" s="5" t="n">
        <v>-442307.8</v>
      </c>
      <c r="L28" s="5" t="n">
        <v>-346886.5</v>
      </c>
      <c r="M28" s="5" t="n">
        <v>-301276.8</v>
      </c>
      <c r="N28" s="5" t="n">
        <v>-214087.6</v>
      </c>
      <c r="O28" s="5" t="n">
        <v>-163491.8</v>
      </c>
      <c r="P28" s="5" t="n">
        <v>-223624.1</v>
      </c>
      <c r="Q28" s="5" t="n">
        <v>-87468.89999999999</v>
      </c>
      <c r="R28" s="5" t="n">
        <v>-46478.7</v>
      </c>
      <c r="S28" s="9" t="n">
        <v>-568573</v>
      </c>
    </row>
    <row r="29">
      <c r="A29" s="4" t="n">
        <v>1850</v>
      </c>
      <c r="B29" s="7" t="n">
        <v>-1338121.2</v>
      </c>
      <c r="C29" s="7" t="n">
        <v>-859339.9</v>
      </c>
      <c r="D29" s="7" t="n">
        <v>-844440.7</v>
      </c>
      <c r="E29" s="7" t="n">
        <v>-710311</v>
      </c>
      <c r="F29" s="7" t="n">
        <v>-754272.1</v>
      </c>
      <c r="G29" s="7" t="n">
        <v>-721466.5</v>
      </c>
      <c r="H29" s="7" t="n">
        <v>-610010.7</v>
      </c>
      <c r="I29" s="7" t="n">
        <v>-580299.7</v>
      </c>
      <c r="J29" s="7" t="n">
        <v>-487517.4</v>
      </c>
      <c r="K29" s="7" t="n">
        <v>-433863.6</v>
      </c>
      <c r="L29" s="7" t="n">
        <v>-341453.5</v>
      </c>
      <c r="M29" s="7" t="n">
        <v>-296516.7</v>
      </c>
      <c r="N29" s="7" t="n">
        <v>-206363.9</v>
      </c>
      <c r="O29" s="7" t="n">
        <v>-154293.5</v>
      </c>
      <c r="P29" s="7" t="n">
        <v>-228410.6</v>
      </c>
      <c r="Q29" s="7" t="n">
        <v>-82810.39999999999</v>
      </c>
      <c r="R29" s="7" t="n">
        <v>-43745.4</v>
      </c>
      <c r="S29" s="8" t="n"/>
    </row>
    <row r="30">
      <c r="A30" s="4" t="n">
        <v>1900</v>
      </c>
      <c r="B30" s="5" t="n">
        <v>-1348180.1</v>
      </c>
      <c r="C30" s="5" t="n">
        <v>-839945.8</v>
      </c>
      <c r="D30" s="5" t="n">
        <v>-835155.6</v>
      </c>
      <c r="E30" s="5" t="n">
        <v>-690332.5</v>
      </c>
      <c r="F30" s="5" t="n">
        <v>-745392.6</v>
      </c>
      <c r="G30" s="5" t="n">
        <v>-710655.7</v>
      </c>
      <c r="H30" s="5" t="n">
        <v>-601264.7</v>
      </c>
      <c r="I30" s="5" t="n">
        <v>-570422.9</v>
      </c>
      <c r="J30" s="5" t="n">
        <v>-478660.3</v>
      </c>
      <c r="K30" s="5" t="n">
        <v>-425400.6</v>
      </c>
      <c r="L30" s="5" t="n">
        <v>-336134.1</v>
      </c>
      <c r="M30" s="5" t="n">
        <v>-291632.8</v>
      </c>
      <c r="N30" s="5" t="n">
        <v>-198674.3</v>
      </c>
      <c r="O30" s="5" t="n">
        <v>-145110.4</v>
      </c>
      <c r="P30" s="5" t="n">
        <v>-233240.9</v>
      </c>
      <c r="Q30" s="5" t="n">
        <v>-78130.60000000001</v>
      </c>
      <c r="R30" s="5" t="n">
        <v>-41029.1</v>
      </c>
      <c r="S30" s="9" t="n">
        <v>-554943.8</v>
      </c>
    </row>
    <row r="31">
      <c r="A31" s="4" t="n">
        <v>1950</v>
      </c>
      <c r="B31" s="7" t="n">
        <v>-1358355.2</v>
      </c>
      <c r="C31" s="7" t="n">
        <v>-820594.4</v>
      </c>
      <c r="D31" s="7" t="n">
        <v>-825892.3</v>
      </c>
      <c r="E31" s="7" t="n">
        <v>-670394.4</v>
      </c>
      <c r="F31" s="7" t="n">
        <v>-736528.5</v>
      </c>
      <c r="G31" s="7" t="n">
        <v>-699858.1</v>
      </c>
      <c r="H31" s="7" t="n">
        <v>-592464.1</v>
      </c>
      <c r="I31" s="7" t="n">
        <v>-560558.5</v>
      </c>
      <c r="J31" s="7" t="n">
        <v>-469792.8</v>
      </c>
      <c r="K31" s="7" t="n">
        <v>-416916.8</v>
      </c>
      <c r="L31" s="7" t="n">
        <v>-330924.9</v>
      </c>
      <c r="M31" s="7" t="n">
        <v>-286781.5</v>
      </c>
      <c r="N31" s="7" t="n">
        <v>-191020.8</v>
      </c>
      <c r="O31" s="7" t="n">
        <v>-135945.5</v>
      </c>
      <c r="P31" s="7" t="n">
        <v>-238114</v>
      </c>
      <c r="Q31" s="7" t="n">
        <v>-73431.2</v>
      </c>
      <c r="R31" s="7" t="n">
        <v>-38331.9</v>
      </c>
      <c r="S31" s="10" t="n">
        <v>-548145.8</v>
      </c>
    </row>
    <row r="32">
      <c r="A32" s="11" t="n">
        <v>2000</v>
      </c>
      <c r="B32" s="12" t="n">
        <v>-1368644</v>
      </c>
      <c r="C32" s="12" t="n">
        <v>-801284.3</v>
      </c>
      <c r="D32" s="12" t="n">
        <v>-816650.4</v>
      </c>
      <c r="E32" s="12" t="n">
        <v>-650495.9</v>
      </c>
      <c r="F32" s="12" t="n">
        <v>-727678.8</v>
      </c>
      <c r="G32" s="12" t="n">
        <v>-689073.2</v>
      </c>
      <c r="H32" s="12" t="n">
        <v>-583367.1</v>
      </c>
      <c r="I32" s="12" t="n">
        <v>-550313.9</v>
      </c>
      <c r="J32" s="12" t="n">
        <v>-460916.3</v>
      </c>
      <c r="K32" s="12" t="n">
        <v>-408410.1</v>
      </c>
      <c r="L32" s="12" t="n">
        <v>-325821.4</v>
      </c>
      <c r="M32" s="12" t="n">
        <v>-281961.2</v>
      </c>
      <c r="N32" s="12" t="n">
        <v>-183405.7</v>
      </c>
      <c r="O32" s="12" t="n">
        <v>-126803.3</v>
      </c>
      <c r="P32" s="12" t="n">
        <v>-245436.4</v>
      </c>
      <c r="Q32" s="12" t="n">
        <v>-68713.8</v>
      </c>
      <c r="R32" s="12" t="n">
        <v>-35656.7</v>
      </c>
      <c r="S32" s="13" t="n"/>
    </row>
    <row r="34">
      <c r="A34" s="14" t="inlineStr">
        <is>
          <t>Notes:</t>
        </is>
      </c>
    </row>
    <row r="35">
      <c r="A35" s="15" t="inlineStr">
        <is>
          <t>Values are dGf in J/mol O2 (Ellingham convention). Divide by 1000 for kJ.</t>
        </is>
      </c>
    </row>
    <row r="36">
      <c r="A36" s="15" t="inlineStr">
        <is>
          <t>Source: TCOX14 database via TC-Python. PbO and CeO2 from SSUB3.</t>
        </is>
      </c>
    </row>
    <row r="37">
      <c r="A37" s="15" t="inlineStr">
        <is>
          <t>More negative = more thermodynamically stable oxide.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6" customWidth="1" min="6" max="6"/>
    <col width="16" customWidth="1" min="7" max="7"/>
    <col width="16" customWidth="1" min="8" max="8"/>
    <col width="10" customWidth="1" min="9" max="9"/>
    <col width="24" customWidth="1" min="10" max="10"/>
    <col width="14" customWidth="1" min="11" max="11"/>
  </cols>
  <sheetData>
    <row r="1" ht="45" customHeight="1">
      <c r="A1" s="1" t="inlineStr">
        <is>
          <t>Oxide</t>
        </is>
      </c>
      <c r="B1" s="2" t="inlineStr">
        <is>
          <t>Density
(g/cm3)</t>
        </is>
      </c>
      <c r="C1" s="2" t="inlineStr">
        <is>
          <t>Tm (C)</t>
        </is>
      </c>
      <c r="D1" s="2" t="inlineStr">
        <is>
          <t>Floats on
Steel?</t>
        </is>
      </c>
      <c r="E1" s="2" t="inlineStr">
        <is>
          <t>Solid at
1527C?</t>
        </is>
      </c>
      <c r="F1" s="2" t="inlineStr">
        <is>
          <t>dG_rxn
@ 727C
(kJ/mol O2)</t>
        </is>
      </c>
      <c r="G1" s="2" t="inlineStr">
        <is>
          <t>dG_rxn
@ 1227C
(kJ/mol O2)</t>
        </is>
      </c>
      <c r="H1" s="2" t="inlineStr">
        <is>
          <t>dG_rxn
@ 1527C
(kJ/mol O2)</t>
        </is>
      </c>
      <c r="I1" s="2" t="inlineStr">
        <is>
          <t>Cu Can
Reduce?</t>
        </is>
      </c>
      <c r="J1" s="2" t="inlineStr">
        <is>
          <t>Toxicity</t>
        </is>
      </c>
      <c r="K1" s="3" t="inlineStr">
        <is>
          <t>Source</t>
        </is>
      </c>
    </row>
    <row r="2">
      <c r="A2" s="16" t="inlineStr">
        <is>
          <t>CeO2</t>
        </is>
      </c>
      <c r="B2" s="17" t="n">
        <v>7.22</v>
      </c>
      <c r="C2" s="17" t="n">
        <v>2400</v>
      </c>
      <c r="D2" s="17" t="inlineStr">
        <is>
          <t>No</t>
        </is>
      </c>
      <c r="E2" s="17" t="inlineStr">
        <is>
          <t>Yes</t>
        </is>
      </c>
      <c r="F2" s="18">
        <f>IFERROR((INDEX('Formation Energies'!$Q:$Q,MATCH(1000,'Formation Energies'!$A:$A,0))-INDEX('Formation Energies'!$B:$B,MATCH(1000,'Formation Energies'!$A:$A,0)))/1000,"TBD")</f>
        <v/>
      </c>
      <c r="G2" s="18">
        <f>IFERROR((INDEX('Formation Energies'!$Q:$Q,MATCH(1500,'Formation Energies'!$A:$A,0))-INDEX('Formation Energies'!$B:$B,MATCH(1500,'Formation Energies'!$A:$A,0)))/1000,"TBD")</f>
        <v/>
      </c>
      <c r="H2" s="18">
        <f>IFERROR((INDEX('Formation Energies'!$Q:$Q,MATCH(1800,'Formation Energies'!$A:$A,0))-INDEX('Formation Energies'!$B:$B,MATCH(1800,'Formation Energies'!$A:$A,0)))/1000,"TBD")</f>
        <v/>
      </c>
      <c r="I2" s="17">
        <f>IF(NOT(ISNUMBER(H2)),"TBD",IF(H2&gt;0,"No",IF(A2="CuO","Trivially","Yes")))</f>
        <v/>
      </c>
      <c r="J2" s="19" t="inlineStr">
        <is>
          <t>Low</t>
        </is>
      </c>
      <c r="K2" s="20" t="inlineStr">
        <is>
          <t>SSUB3</t>
        </is>
      </c>
    </row>
    <row r="3">
      <c r="A3" s="21" t="inlineStr">
        <is>
          <t>CaO</t>
        </is>
      </c>
      <c r="B3" s="22" t="n">
        <v>3.34</v>
      </c>
      <c r="C3" s="22" t="n">
        <v>2613</v>
      </c>
      <c r="D3" s="22" t="inlineStr">
        <is>
          <t>Yes</t>
        </is>
      </c>
      <c r="E3" s="22" t="inlineStr">
        <is>
          <t>Yes</t>
        </is>
      </c>
      <c r="F3" s="23">
        <f>IFERROR((INDEX('Formation Energies'!$Q:$Q,MATCH(1000,'Formation Energies'!$A:$A,0))-INDEX('Formation Energies'!$C:$C,MATCH(1000,'Formation Energies'!$A:$A,0)))/1000,"TBD")</f>
        <v/>
      </c>
      <c r="G3" s="23">
        <f>IFERROR((INDEX('Formation Energies'!$Q:$Q,MATCH(1500,'Formation Energies'!$A:$A,0))-INDEX('Formation Energies'!$C:$C,MATCH(1500,'Formation Energies'!$A:$A,0)))/1000,"TBD")</f>
        <v/>
      </c>
      <c r="H3" s="23">
        <f>IFERROR((INDEX('Formation Energies'!$Q:$Q,MATCH(1800,'Formation Energies'!$A:$A,0))-INDEX('Formation Energies'!$C:$C,MATCH(1800,'Formation Energies'!$A:$A,0)))/1000,"TBD")</f>
        <v/>
      </c>
      <c r="I3" s="22">
        <f>IF(NOT(ISNUMBER(H3)),"TBD",IF(H3&gt;0,"No",IF(A3="CuO","Trivially","Yes")))</f>
        <v/>
      </c>
      <c r="J3" s="24" t="inlineStr">
        <is>
          <t>Low</t>
        </is>
      </c>
      <c r="K3" s="25" t="inlineStr">
        <is>
          <t>TCOX14</t>
        </is>
      </c>
    </row>
    <row r="4">
      <c r="A4" s="16" t="inlineStr">
        <is>
          <t>La2O3</t>
        </is>
      </c>
      <c r="B4" s="17" t="n">
        <v>6.51</v>
      </c>
      <c r="C4" s="17" t="n">
        <v>2315</v>
      </c>
      <c r="D4" s="17" t="inlineStr">
        <is>
          <t>Yes</t>
        </is>
      </c>
      <c r="E4" s="17" t="inlineStr">
        <is>
          <t>Yes</t>
        </is>
      </c>
      <c r="F4" s="18">
        <f>IFERROR((INDEX('Formation Energies'!$Q:$Q,MATCH(1000,'Formation Energies'!$A:$A,0))-INDEX('Formation Energies'!$D:$D,MATCH(1000,'Formation Energies'!$A:$A,0)))/1000,"TBD")</f>
        <v/>
      </c>
      <c r="G4" s="18">
        <f>IFERROR((INDEX('Formation Energies'!$Q:$Q,MATCH(1500,'Formation Energies'!$A:$A,0))-INDEX('Formation Energies'!$D:$D,MATCH(1500,'Formation Energies'!$A:$A,0)))/1000,"TBD")</f>
        <v/>
      </c>
      <c r="H4" s="18">
        <f>IFERROR((INDEX('Formation Energies'!$Q:$Q,MATCH(1800,'Formation Energies'!$A:$A,0))-INDEX('Formation Energies'!$D:$D,MATCH(1800,'Formation Energies'!$A:$A,0)))/1000,"TBD")</f>
        <v/>
      </c>
      <c r="I4" s="17">
        <f>IF(NOT(ISNUMBER(H4)),"TBD",IF(H4&gt;0,"No",IF(A4="CuO","Trivially","Yes")))</f>
        <v/>
      </c>
      <c r="J4" s="19" t="inlineStr">
        <is>
          <t>Low-Moderate</t>
        </is>
      </c>
      <c r="K4" s="20" t="inlineStr">
        <is>
          <t>TCOX14</t>
        </is>
      </c>
    </row>
    <row r="5">
      <c r="A5" s="21" t="inlineStr">
        <is>
          <t>MgO</t>
        </is>
      </c>
      <c r="B5" s="22" t="n">
        <v>3.58</v>
      </c>
      <c r="C5" s="22" t="n">
        <v>2852</v>
      </c>
      <c r="D5" s="22" t="inlineStr">
        <is>
          <t>Yes</t>
        </is>
      </c>
      <c r="E5" s="22" t="inlineStr">
        <is>
          <t>Yes</t>
        </is>
      </c>
      <c r="F5" s="23">
        <f>IFERROR((INDEX('Formation Energies'!$Q:$Q,MATCH(1000,'Formation Energies'!$A:$A,0))-INDEX('Formation Energies'!$E:$E,MATCH(1000,'Formation Energies'!$A:$A,0)))/1000,"TBD")</f>
        <v/>
      </c>
      <c r="G5" s="23">
        <f>IFERROR((INDEX('Formation Energies'!$Q:$Q,MATCH(1500,'Formation Energies'!$A:$A,0))-INDEX('Formation Energies'!$E:$E,MATCH(1500,'Formation Energies'!$A:$A,0)))/1000,"TBD")</f>
        <v/>
      </c>
      <c r="H5" s="23">
        <f>IFERROR((INDEX('Formation Energies'!$Q:$Q,MATCH(1800,'Formation Energies'!$A:$A,0))-INDEX('Formation Energies'!$E:$E,MATCH(1800,'Formation Energies'!$A:$A,0)))/1000,"TBD")</f>
        <v/>
      </c>
      <c r="I5" s="22">
        <f>IF(NOT(ISNUMBER(H5)),"TBD",IF(H5&gt;0,"No",IF(A5="CuO","Trivially","Yes")))</f>
        <v/>
      </c>
      <c r="J5" s="24" t="inlineStr">
        <is>
          <t>Low</t>
        </is>
      </c>
      <c r="K5" s="25" t="inlineStr">
        <is>
          <t>TCOX14</t>
        </is>
      </c>
    </row>
    <row r="6">
      <c r="A6" s="16" t="inlineStr">
        <is>
          <t>ZrO2</t>
        </is>
      </c>
      <c r="B6" s="17" t="n">
        <v>5.68</v>
      </c>
      <c r="C6" s="17" t="n">
        <v>2715</v>
      </c>
      <c r="D6" s="17" t="inlineStr">
        <is>
          <t>Yes</t>
        </is>
      </c>
      <c r="E6" s="17" t="inlineStr">
        <is>
          <t>Yes</t>
        </is>
      </c>
      <c r="F6" s="18">
        <f>IFERROR((INDEX('Formation Energies'!$Q:$Q,MATCH(1000,'Formation Energies'!$A:$A,0))-INDEX('Formation Energies'!$F:$F,MATCH(1000,'Formation Energies'!$A:$A,0)))/1000,"TBD")</f>
        <v/>
      </c>
      <c r="G6" s="18">
        <f>IFERROR((INDEX('Formation Energies'!$Q:$Q,MATCH(1500,'Formation Energies'!$A:$A,0))-INDEX('Formation Energies'!$F:$F,MATCH(1500,'Formation Energies'!$A:$A,0)))/1000,"TBD")</f>
        <v/>
      </c>
      <c r="H6" s="18">
        <f>IFERROR((INDEX('Formation Energies'!$Q:$Q,MATCH(1800,'Formation Energies'!$A:$A,0))-INDEX('Formation Energies'!$F:$F,MATCH(1800,'Formation Energies'!$A:$A,0)))/1000,"TBD")</f>
        <v/>
      </c>
      <c r="I6" s="17">
        <f>IF(NOT(ISNUMBER(H6)),"TBD",IF(H6&gt;0,"No",IF(A6="CuO","Trivially","Yes")))</f>
        <v/>
      </c>
      <c r="J6" s="19" t="inlineStr">
        <is>
          <t>Low</t>
        </is>
      </c>
      <c r="K6" s="20" t="inlineStr">
        <is>
          <t>TCOX14</t>
        </is>
      </c>
    </row>
    <row r="7">
      <c r="A7" s="21" t="inlineStr">
        <is>
          <t>Al2O3</t>
        </is>
      </c>
      <c r="B7" s="22" t="n">
        <v>3.95</v>
      </c>
      <c r="C7" s="22" t="n">
        <v>2072</v>
      </c>
      <c r="D7" s="22" t="inlineStr">
        <is>
          <t>Yes</t>
        </is>
      </c>
      <c r="E7" s="22" t="inlineStr">
        <is>
          <t>Yes</t>
        </is>
      </c>
      <c r="F7" s="23">
        <f>IFERROR((INDEX('Formation Energies'!$Q:$Q,MATCH(1000,'Formation Energies'!$A:$A,0))-INDEX('Formation Energies'!$G:$G,MATCH(1000,'Formation Energies'!$A:$A,0)))/1000,"TBD")</f>
        <v/>
      </c>
      <c r="G7" s="23">
        <f>IFERROR((INDEX('Formation Energies'!$Q:$Q,MATCH(1500,'Formation Energies'!$A:$A,0))-INDEX('Formation Energies'!$G:$G,MATCH(1500,'Formation Energies'!$A:$A,0)))/1000,"TBD")</f>
        <v/>
      </c>
      <c r="H7" s="23">
        <f>IFERROR((INDEX('Formation Energies'!$Q:$Q,MATCH(1800,'Formation Energies'!$A:$A,0))-INDEX('Formation Energies'!$G:$G,MATCH(1800,'Formation Energies'!$A:$A,0)))/1000,"TBD")</f>
        <v/>
      </c>
      <c r="I7" s="22">
        <f>IF(NOT(ISNUMBER(H7)),"TBD",IF(H7&gt;0,"No",IF(A7="CuO","Trivially","Yes")))</f>
        <v/>
      </c>
      <c r="J7" s="24" t="inlineStr">
        <is>
          <t>Low</t>
        </is>
      </c>
      <c r="K7" s="25" t="inlineStr">
        <is>
          <t>TCOX14</t>
        </is>
      </c>
    </row>
    <row r="8">
      <c r="A8" s="16" t="inlineStr">
        <is>
          <t>TiO2</t>
        </is>
      </c>
      <c r="B8" s="17" t="n">
        <v>4.23</v>
      </c>
      <c r="C8" s="17" t="n">
        <v>1843</v>
      </c>
      <c r="D8" s="17" t="inlineStr">
        <is>
          <t>Yes</t>
        </is>
      </c>
      <c r="E8" s="17" t="inlineStr">
        <is>
          <t>Yes</t>
        </is>
      </c>
      <c r="F8" s="18">
        <f>IFERROR((INDEX('Formation Energies'!$Q:$Q,MATCH(1000,'Formation Energies'!$A:$A,0))-INDEX('Formation Energies'!$H:$H,MATCH(1000,'Formation Energies'!$A:$A,0)))/1000,"TBD")</f>
        <v/>
      </c>
      <c r="G8" s="18">
        <f>IFERROR((INDEX('Formation Energies'!$Q:$Q,MATCH(1500,'Formation Energies'!$A:$A,0))-INDEX('Formation Energies'!$H:$H,MATCH(1500,'Formation Energies'!$A:$A,0)))/1000,"TBD")</f>
        <v/>
      </c>
      <c r="H8" s="18">
        <f>IFERROR((INDEX('Formation Energies'!$Q:$Q,MATCH(1800,'Formation Energies'!$A:$A,0))-INDEX('Formation Energies'!$H:$H,MATCH(1800,'Formation Energies'!$A:$A,0)))/1000,"TBD")</f>
        <v/>
      </c>
      <c r="I8" s="17">
        <f>IF(NOT(ISNUMBER(H8)),"TBD",IF(H8&gt;0,"No",IF(A8="CuO","Trivially","Yes")))</f>
        <v/>
      </c>
      <c r="J8" s="19" t="inlineStr">
        <is>
          <t>Low</t>
        </is>
      </c>
      <c r="K8" s="20" t="inlineStr">
        <is>
          <t>TCOX14</t>
        </is>
      </c>
    </row>
    <row r="9">
      <c r="A9" s="21" t="inlineStr">
        <is>
          <t>SiO2</t>
        </is>
      </c>
      <c r="B9" s="22" t="n">
        <v>2.65</v>
      </c>
      <c r="C9" s="22" t="n">
        <v>1713</v>
      </c>
      <c r="D9" s="22" t="inlineStr">
        <is>
          <t>Yes</t>
        </is>
      </c>
      <c r="E9" s="22" t="inlineStr">
        <is>
          <t>Yes</t>
        </is>
      </c>
      <c r="F9" s="23">
        <f>IFERROR((INDEX('Formation Energies'!$Q:$Q,MATCH(1000,'Formation Energies'!$A:$A,0))-INDEX('Formation Energies'!$I:$I,MATCH(1000,'Formation Energies'!$A:$A,0)))/1000,"TBD")</f>
        <v/>
      </c>
      <c r="G9" s="23">
        <f>IFERROR((INDEX('Formation Energies'!$Q:$Q,MATCH(1500,'Formation Energies'!$A:$A,0))-INDEX('Formation Energies'!$I:$I,MATCH(1500,'Formation Energies'!$A:$A,0)))/1000,"TBD")</f>
        <v/>
      </c>
      <c r="H9" s="23">
        <f>IFERROR((INDEX('Formation Energies'!$Q:$Q,MATCH(1800,'Formation Energies'!$A:$A,0))-INDEX('Formation Energies'!$I:$I,MATCH(1800,'Formation Energies'!$A:$A,0)))/1000,"TBD")</f>
        <v/>
      </c>
      <c r="I9" s="22">
        <f>IF(NOT(ISNUMBER(H9)),"TBD",IF(H9&gt;0,"No",IF(A9="CuO","Trivially","Yes")))</f>
        <v/>
      </c>
      <c r="J9" s="24" t="inlineStr">
        <is>
          <t>Low (silicosis)</t>
        </is>
      </c>
      <c r="K9" s="25" t="inlineStr">
        <is>
          <t>TCOX14</t>
        </is>
      </c>
    </row>
    <row r="10">
      <c r="A10" s="16" t="inlineStr">
        <is>
          <t>MnO</t>
        </is>
      </c>
      <c r="B10" s="17" t="n">
        <v>5.43</v>
      </c>
      <c r="C10" s="17" t="n">
        <v>1842</v>
      </c>
      <c r="D10" s="17" t="inlineStr">
        <is>
          <t>Yes</t>
        </is>
      </c>
      <c r="E10" s="17" t="inlineStr">
        <is>
          <t>Yes</t>
        </is>
      </c>
      <c r="F10" s="18">
        <f>IFERROR((INDEX('Formation Energies'!$Q:$Q,MATCH(1000,'Formation Energies'!$A:$A,0))-INDEX('Formation Energies'!$J:$J,MATCH(1000,'Formation Energies'!$A:$A,0)))/1000,"TBD")</f>
        <v/>
      </c>
      <c r="G10" s="18">
        <f>IFERROR((INDEX('Formation Energies'!$Q:$Q,MATCH(1500,'Formation Energies'!$A:$A,0))-INDEX('Formation Energies'!$J:$J,MATCH(1500,'Formation Energies'!$A:$A,0)))/1000,"TBD")</f>
        <v/>
      </c>
      <c r="H10" s="18">
        <f>IFERROR((INDEX('Formation Energies'!$Q:$Q,MATCH(1800,'Formation Energies'!$A:$A,0))-INDEX('Formation Energies'!$J:$J,MATCH(1800,'Formation Energies'!$A:$A,0)))/1000,"TBD")</f>
        <v/>
      </c>
      <c r="I10" s="17">
        <f>IF(NOT(ISNUMBER(H10)),"TBD",IF(H10&gt;0,"No",IF(A10="CuO","Trivially","Yes")))</f>
        <v/>
      </c>
      <c r="J10" s="19" t="inlineStr">
        <is>
          <t>Low</t>
        </is>
      </c>
      <c r="K10" s="20" t="inlineStr">
        <is>
          <t>TCOX14</t>
        </is>
      </c>
    </row>
    <row r="11">
      <c r="A11" s="21" t="inlineStr">
        <is>
          <t>Cr2O3</t>
        </is>
      </c>
      <c r="B11" s="22" t="n">
        <v>5.22</v>
      </c>
      <c r="C11" s="22" t="n">
        <v>2435</v>
      </c>
      <c r="D11" s="22" t="inlineStr">
        <is>
          <t>Yes</t>
        </is>
      </c>
      <c r="E11" s="22" t="inlineStr">
        <is>
          <t>Yes</t>
        </is>
      </c>
      <c r="F11" s="23">
        <f>IFERROR((INDEX('Formation Energies'!$Q:$Q,MATCH(1000,'Formation Energies'!$A:$A,0))-INDEX('Formation Energies'!$K:$K,MATCH(1000,'Formation Energies'!$A:$A,0)))/1000,"TBD")</f>
        <v/>
      </c>
      <c r="G11" s="23">
        <f>IFERROR((INDEX('Formation Energies'!$Q:$Q,MATCH(1500,'Formation Energies'!$A:$A,0))-INDEX('Formation Energies'!$K:$K,MATCH(1500,'Formation Energies'!$A:$A,0)))/1000,"TBD")</f>
        <v/>
      </c>
      <c r="H11" s="23">
        <f>IFERROR((INDEX('Formation Energies'!$Q:$Q,MATCH(1800,'Formation Energies'!$A:$A,0))-INDEX('Formation Energies'!$K:$K,MATCH(1800,'Formation Energies'!$A:$A,0)))/1000,"TBD")</f>
        <v/>
      </c>
      <c r="I11" s="22">
        <f>IF(NOT(ISNUMBER(H11)),"TBD",IF(H11&gt;0,"No",IF(A11="CuO","Trivially","Yes")))</f>
        <v/>
      </c>
      <c r="J11" s="24" t="inlineStr">
        <is>
          <t>Moderate (Cr VI)</t>
        </is>
      </c>
      <c r="K11" s="25" t="inlineStr">
        <is>
          <t>TCOX14</t>
        </is>
      </c>
    </row>
    <row r="12">
      <c r="A12" s="16" t="inlineStr">
        <is>
          <t>V2O5</t>
        </is>
      </c>
      <c r="B12" s="17" t="n">
        <v>3.36</v>
      </c>
      <c r="C12" s="17" t="n">
        <v>690</v>
      </c>
      <c r="D12" s="17" t="inlineStr">
        <is>
          <t>Yes</t>
        </is>
      </c>
      <c r="E12" s="26" t="inlineStr">
        <is>
          <t>LIQUID</t>
        </is>
      </c>
      <c r="F12" s="18">
        <f>IFERROR((INDEX('Formation Energies'!$Q:$Q,MATCH(1000,'Formation Energies'!$A:$A,0))-INDEX('Formation Energies'!$L:$L,MATCH(1000,'Formation Energies'!$A:$A,0)))/1000,"TBD")</f>
        <v/>
      </c>
      <c r="G12" s="18">
        <f>IFERROR((INDEX('Formation Energies'!$Q:$Q,MATCH(1500,'Formation Energies'!$A:$A,0))-INDEX('Formation Energies'!$L:$L,MATCH(1500,'Formation Energies'!$A:$A,0)))/1000,"TBD")</f>
        <v/>
      </c>
      <c r="H12" s="18">
        <f>IFERROR((INDEX('Formation Energies'!$Q:$Q,MATCH(1800,'Formation Energies'!$A:$A,0))-INDEX('Formation Energies'!$L:$L,MATCH(1800,'Formation Energies'!$A:$A,0)))/1000,"TBD")</f>
        <v/>
      </c>
      <c r="I12" s="17">
        <f>IF(NOT(ISNUMBER(H12)),"TBD",IF(H12&gt;0,"No",IF(A12="CuO","Trivially","Yes")))</f>
        <v/>
      </c>
      <c r="J12" s="19" t="inlineStr">
        <is>
          <t>HIGH - Carc. 1B</t>
        </is>
      </c>
      <c r="K12" s="20" t="inlineStr">
        <is>
          <t>TCOX14</t>
        </is>
      </c>
    </row>
    <row r="13">
      <c r="A13" s="21" t="inlineStr">
        <is>
          <t>FeO</t>
        </is>
      </c>
      <c r="B13" s="22" t="n">
        <v>5.74</v>
      </c>
      <c r="C13" s="22" t="n">
        <v>1377</v>
      </c>
      <c r="D13" s="22" t="inlineStr">
        <is>
          <t>Yes</t>
        </is>
      </c>
      <c r="E13" s="27" t="inlineStr">
        <is>
          <t>LIQUID</t>
        </is>
      </c>
      <c r="F13" s="23">
        <f>IFERROR((INDEX('Formation Energies'!$Q:$Q,MATCH(1000,'Formation Energies'!$A:$A,0))-INDEX('Formation Energies'!$M:$M,MATCH(1000,'Formation Energies'!$A:$A,0)))/1000,"TBD")</f>
        <v/>
      </c>
      <c r="G13" s="23">
        <f>IFERROR((INDEX('Formation Energies'!$Q:$Q,MATCH(1500,'Formation Energies'!$A:$A,0))-INDEX('Formation Energies'!$M:$M,MATCH(1500,'Formation Energies'!$A:$A,0)))/1000,"TBD")</f>
        <v/>
      </c>
      <c r="H13" s="23">
        <f>IFERROR((INDEX('Formation Energies'!$Q:$Q,MATCH(1800,'Formation Energies'!$A:$A,0))-INDEX('Formation Energies'!$M:$M,MATCH(1800,'Formation Energies'!$A:$A,0)))/1000,"TBD")</f>
        <v/>
      </c>
      <c r="I13" s="22">
        <f>IF(NOT(ISNUMBER(H13)),"TBD",IF(H13&gt;0,"No",IF(A13="CuO","Trivially","Yes")))</f>
        <v/>
      </c>
      <c r="J13" s="24" t="inlineStr">
        <is>
          <t>Low</t>
        </is>
      </c>
      <c r="K13" s="25" t="inlineStr">
        <is>
          <t>TCOX14</t>
        </is>
      </c>
    </row>
    <row r="14">
      <c r="A14" s="16" t="inlineStr">
        <is>
          <t>CoO</t>
        </is>
      </c>
      <c r="B14" s="17" t="n">
        <v>6.44</v>
      </c>
      <c r="C14" s="17" t="n">
        <v>1830</v>
      </c>
      <c r="D14" s="17" t="inlineStr">
        <is>
          <t>Yes</t>
        </is>
      </c>
      <c r="E14" s="17" t="inlineStr">
        <is>
          <t>Yes</t>
        </is>
      </c>
      <c r="F14" s="18">
        <f>IFERROR((INDEX('Formation Energies'!$Q:$Q,MATCH(1000,'Formation Energies'!$A:$A,0))-INDEX('Formation Energies'!$N:$N,MATCH(1000,'Formation Energies'!$A:$A,0)))/1000,"TBD")</f>
        <v/>
      </c>
      <c r="G14" s="18">
        <f>IFERROR((INDEX('Formation Energies'!$Q:$Q,MATCH(1500,'Formation Energies'!$A:$A,0))-INDEX('Formation Energies'!$N:$N,MATCH(1500,'Formation Energies'!$A:$A,0)))/1000,"TBD")</f>
        <v/>
      </c>
      <c r="H14" s="18">
        <f>IFERROR((INDEX('Formation Energies'!$Q:$Q,MATCH(1800,'Formation Energies'!$A:$A,0))-INDEX('Formation Energies'!$N:$N,MATCH(1800,'Formation Energies'!$A:$A,0)))/1000,"TBD")</f>
        <v/>
      </c>
      <c r="I14" s="17">
        <f>IF(NOT(ISNUMBER(H14)),"TBD",IF(H14&gt;0,"No",IF(A14="CuO","Trivially","Yes")))</f>
        <v/>
      </c>
      <c r="J14" s="19" t="inlineStr">
        <is>
          <t>HIGH - Carc. 1B</t>
        </is>
      </c>
      <c r="K14" s="20" t="inlineStr">
        <is>
          <t>TCOX14</t>
        </is>
      </c>
    </row>
    <row r="15">
      <c r="A15" s="21" t="inlineStr">
        <is>
          <t>NiO</t>
        </is>
      </c>
      <c r="B15" s="22" t="n">
        <v>6.67</v>
      </c>
      <c r="C15" s="22" t="n">
        <v>1955</v>
      </c>
      <c r="D15" s="22" t="inlineStr">
        <is>
          <t>Yes</t>
        </is>
      </c>
      <c r="E15" s="22" t="inlineStr">
        <is>
          <t>Yes</t>
        </is>
      </c>
      <c r="F15" s="23">
        <f>IFERROR((INDEX('Formation Energies'!$Q:$Q,MATCH(1000,'Formation Energies'!$A:$A,0))-INDEX('Formation Energies'!$O:$O,MATCH(1000,'Formation Energies'!$A:$A,0)))/1000,"TBD")</f>
        <v/>
      </c>
      <c r="G15" s="23">
        <f>IFERROR((INDEX('Formation Energies'!$Q:$Q,MATCH(1500,'Formation Energies'!$A:$A,0))-INDEX('Formation Energies'!$O:$O,MATCH(1500,'Formation Energies'!$A:$A,0)))/1000,"TBD")</f>
        <v/>
      </c>
      <c r="H15" s="23">
        <f>IFERROR((INDEX('Formation Energies'!$Q:$Q,MATCH(1800,'Formation Energies'!$A:$A,0))-INDEX('Formation Energies'!$O:$O,MATCH(1800,'Formation Energies'!$A:$A,0)))/1000,"TBD")</f>
        <v/>
      </c>
      <c r="I15" s="22">
        <f>IF(NOT(ISNUMBER(H15)),"TBD",IF(H15&gt;0,"No",IF(A15="CuO","Trivially","Yes")))</f>
        <v/>
      </c>
      <c r="J15" s="24" t="inlineStr">
        <is>
          <t>HIGH - IARC Grp 1</t>
        </is>
      </c>
      <c r="K15" s="25" t="inlineStr">
        <is>
          <t>TCOX14</t>
        </is>
      </c>
    </row>
    <row r="16">
      <c r="A16" s="16" t="inlineStr">
        <is>
          <t>PbO</t>
        </is>
      </c>
      <c r="B16" s="17" t="n">
        <v>9.529999999999999</v>
      </c>
      <c r="C16" s="17" t="n">
        <v>888</v>
      </c>
      <c r="D16" s="17" t="inlineStr">
        <is>
          <t>No</t>
        </is>
      </c>
      <c r="E16" s="26" t="inlineStr">
        <is>
          <t>LIQUID</t>
        </is>
      </c>
      <c r="F16" s="18">
        <f>IFERROR((INDEX('Formation Energies'!$Q:$Q,MATCH(1000,'Formation Energies'!$A:$A,0))-INDEX('Formation Energies'!$P:$P,MATCH(1000,'Formation Energies'!$A:$A,0)))/1000,"TBD")</f>
        <v/>
      </c>
      <c r="G16" s="18">
        <f>IFERROR((INDEX('Formation Energies'!$Q:$Q,MATCH(1500,'Formation Energies'!$A:$A,0))-INDEX('Formation Energies'!$P:$P,MATCH(1500,'Formation Energies'!$A:$A,0)))/1000,"TBD")</f>
        <v/>
      </c>
      <c r="H16" s="18">
        <f>IFERROR((INDEX('Formation Energies'!$Q:$Q,MATCH(1800,'Formation Energies'!$A:$A,0))-INDEX('Formation Energies'!$P:$P,MATCH(1800,'Formation Energies'!$A:$A,0)))/1000,"TBD")</f>
        <v/>
      </c>
      <c r="I16" s="17">
        <f>IF(NOT(ISNUMBER(H16)),"TBD",IF(H16&gt;0,"No",IF(A16="CuO","Trivially","Yes")))</f>
        <v/>
      </c>
      <c r="J16" s="19" t="inlineStr">
        <is>
          <t>HIGH - neurotoxin</t>
        </is>
      </c>
      <c r="K16" s="20" t="inlineStr">
        <is>
          <t>SSUB3</t>
        </is>
      </c>
    </row>
    <row r="17">
      <c r="A17" s="21" t="inlineStr">
        <is>
          <t>B2O3</t>
        </is>
      </c>
      <c r="B17" s="22" t="n">
        <v>2.55</v>
      </c>
      <c r="C17" s="22" t="n">
        <v>450</v>
      </c>
      <c r="D17" s="22" t="inlineStr">
        <is>
          <t>Yes</t>
        </is>
      </c>
      <c r="E17" s="27" t="inlineStr">
        <is>
          <t>LIQUID</t>
        </is>
      </c>
      <c r="F17" s="23">
        <f>IFERROR((INDEX('Formation Energies'!$Q:$Q,MATCH(1000,'Formation Energies'!$A:$A,0))-INDEX('Formation Energies'!$S:$S,MATCH(1000,'Formation Energies'!$A:$A,0)))/1000,"TBD")</f>
        <v/>
      </c>
      <c r="G17" s="23">
        <f>IFERROR((INDEX('Formation Energies'!$Q:$Q,MATCH(1500,'Formation Energies'!$A:$A,0))-INDEX('Formation Energies'!$S:$S,MATCH(1500,'Formation Energies'!$A:$A,0)))/1000,"TBD")</f>
        <v/>
      </c>
      <c r="H17" s="23">
        <f>IFERROR((INDEX('Formation Energies'!$Q:$Q,MATCH(1800,'Formation Energies'!$A:$A,0))-INDEX('Formation Energies'!$S:$S,MATCH(1800,'Formation Energies'!$A:$A,0)))/1000,"TBD")</f>
        <v/>
      </c>
      <c r="I17" s="22">
        <f>IF(NOT(ISNUMBER(H17)),"TBD",IF(H17&gt;0,"No",IF(A17="CuO","Trivially","Yes")))</f>
        <v/>
      </c>
      <c r="J17" s="24" t="inlineStr">
        <is>
          <t>Moderate - Repr.1B</t>
        </is>
      </c>
      <c r="K17" s="25" t="inlineStr">
        <is>
          <t>TCOX14</t>
        </is>
      </c>
    </row>
    <row r="18">
      <c r="A18" s="28" t="inlineStr">
        <is>
          <t>CuO</t>
        </is>
      </c>
      <c r="B18" s="29" t="n">
        <v>6.31</v>
      </c>
      <c r="C18" s="29" t="n">
        <v>1326</v>
      </c>
      <c r="D18" s="29" t="inlineStr">
        <is>
          <t>Yes</t>
        </is>
      </c>
      <c r="E18" s="30" t="inlineStr">
        <is>
          <t>LIQUID</t>
        </is>
      </c>
      <c r="F18" s="31">
        <f>IFERROR((INDEX('Formation Energies'!$Q:$Q,MATCH(1000,'Formation Energies'!$A:$A,0))-INDEX('Formation Energies'!$R:$R,MATCH(1000,'Formation Energies'!$A:$A,0)))/1000,"TBD")</f>
        <v/>
      </c>
      <c r="G18" s="31">
        <f>IFERROR((INDEX('Formation Energies'!$Q:$Q,MATCH(1500,'Formation Energies'!$A:$A,0))-INDEX('Formation Energies'!$R:$R,MATCH(1500,'Formation Energies'!$A:$A,0)))/1000,"TBD")</f>
        <v/>
      </c>
      <c r="H18" s="31">
        <f>IFERROR((INDEX('Formation Energies'!$Q:$Q,MATCH(1800,'Formation Energies'!$A:$A,0))-INDEX('Formation Energies'!$R:$R,MATCH(1800,'Formation Energies'!$A:$A,0)))/1000,"TBD")</f>
        <v/>
      </c>
      <c r="I18" s="29">
        <f>IF(NOT(ISNUMBER(H18)),"TBD",IF(H18&gt;0,"No",IF(A18="CuO","Trivially","Yes")))</f>
        <v/>
      </c>
      <c r="J18" s="32" t="inlineStr">
        <is>
          <t>Moderate - aquatic</t>
        </is>
      </c>
      <c r="K18" s="33" t="inlineStr">
        <is>
          <t>TCOX14</t>
        </is>
      </c>
    </row>
    <row r="20">
      <c r="A20" s="14" t="inlineStr">
        <is>
          <t>Notes:</t>
        </is>
      </c>
    </row>
    <row r="21">
      <c r="A21" s="15" t="inlineStr">
        <is>
          <t>dG_rxn = dGf(Cu2O) - dGf(MOx) per mol O2. Positive = Cu CANNOT reduce oxide.</t>
        </is>
      </c>
    </row>
    <row r="22">
      <c r="A22" s="15" t="inlineStr">
        <is>
          <t>FORMULA CELLS: Cols F-H use INDEX/MATCH referencing 'Formation Energies' tab.</t>
        </is>
      </c>
    </row>
    <row r="23">
      <c r="A23" s="15" t="inlineStr">
        <is>
          <t>Col I verdict is an IF() formula based on Col H value.</t>
        </is>
      </c>
    </row>
    <row r="24">
      <c r="A24" s="15" t="inlineStr">
        <is>
          <t>Total formula cells: 68 (3 dG + 1 verdict per oxide).</t>
        </is>
      </c>
    </row>
    <row r="25">
      <c r="A25" s="15" t="inlineStr">
        <is>
          <t>Molten steel density ~ 7.0 g/cm3 at 1600C. Oxides lighter than steel float.</t>
        </is>
      </c>
    </row>
    <row r="26">
      <c r="A26" s="15" t="inlineStr">
        <is>
          <t>CuO: Cu2O -&gt; CuO is further Cu oxidation, not useful for removal.</t>
        </is>
      </c>
    </row>
    <row r="27">
      <c r="A27" s="15" t="inlineStr">
        <is>
          <t>Conclusion: Cu cannot directly reduce ANY useful ceramic oxide at steelmaking temps.</t>
        </is>
      </c>
    </row>
  </sheetData>
  <conditionalFormatting sqref="F2:F18">
    <cfRule type="cellIs" priority="1" operator="greaterThan" dxfId="0">
      <formula>0</formula>
    </cfRule>
    <cfRule type="cellIs" priority="2" operator="lessThanOrEqual" dxfId="1">
      <formula>0</formula>
    </cfRule>
  </conditionalFormatting>
  <conditionalFormatting sqref="G2:G18">
    <cfRule type="cellIs" priority="3" operator="greaterThan" dxfId="0">
      <formula>0</formula>
    </cfRule>
    <cfRule type="cellIs" priority="4" operator="lessThanOrEqual" dxfId="1">
      <formula>0</formula>
    </cfRule>
  </conditionalFormatting>
  <conditionalFormatting sqref="H2:H18">
    <cfRule type="cellIs" priority="5" operator="greaterThan" dxfId="0">
      <formula>0</formula>
    </cfRule>
    <cfRule type="cellIs" priority="6" operator="lessThanOrEqual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4" customWidth="1" min="3" max="3"/>
    <col width="40" customWidth="1" min="4" max="4"/>
    <col width="8" customWidth="1" min="5" max="5"/>
    <col width="10" customWidth="1" min="6" max="6"/>
    <col width="8" customWidth="1" min="7" max="7"/>
    <col width="8" customWidth="1" min="8" max="8"/>
    <col width="8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40" customHeight="1">
      <c r="A1" s="1" t="inlineStr">
        <is>
          <t>Product</t>
        </is>
      </c>
      <c r="B1" s="2" t="inlineStr">
        <is>
          <t>Name</t>
        </is>
      </c>
      <c r="C1" s="2" t="inlineStr">
        <is>
          <t>Category</t>
        </is>
      </c>
      <c r="D1" s="2" t="inlineStr">
        <is>
          <t>Balanced Reaction</t>
        </is>
      </c>
      <c r="E1" s="2" t="inlineStr">
        <is>
          <t>n(Cu)</t>
        </is>
      </c>
      <c r="F1" s="2" t="inlineStr">
        <is>
          <t>Oxide</t>
        </is>
      </c>
      <c r="G1" s="2" t="inlineStr">
        <is>
          <t>n(oxide)</t>
        </is>
      </c>
      <c r="H1" s="2" t="inlineStr">
        <is>
          <t>Oxide
Atoms</t>
        </is>
      </c>
      <c r="I1" s="2" t="inlineStr">
        <is>
          <t>n(O2)</t>
        </is>
      </c>
      <c r="J1" s="2" t="inlineStr">
        <is>
          <t>O atoms
from O2</t>
        </is>
      </c>
      <c r="K1" s="2" t="inlineStr">
        <is>
          <t>Total
Reactant
Atoms</t>
        </is>
      </c>
      <c r="L1" s="2" t="inlineStr">
        <is>
          <t>Product
Atoms</t>
        </is>
      </c>
      <c r="M1" s="3" t="inlineStr">
        <is>
          <t>Balanced?</t>
        </is>
      </c>
    </row>
    <row r="2">
      <c r="A2" s="28" t="inlineStr">
        <is>
          <t>CuAl2O4</t>
        </is>
      </c>
      <c r="B2" s="32" t="inlineStr">
        <is>
          <t>Copper aluminate spinel</t>
        </is>
      </c>
      <c r="C2" s="32" t="inlineStr">
        <is>
          <t>Spinel</t>
        </is>
      </c>
      <c r="D2" s="32" t="inlineStr">
        <is>
          <t>Cu + Al2O3 + 0.5 O2 -&gt; CuAl2O4</t>
        </is>
      </c>
      <c r="E2" s="29" t="n">
        <v>1</v>
      </c>
      <c r="F2" s="32" t="inlineStr">
        <is>
          <t>Al2O3</t>
        </is>
      </c>
      <c r="G2" s="29" t="n">
        <v>1</v>
      </c>
      <c r="H2" s="29" t="n">
        <v>5</v>
      </c>
      <c r="I2" s="29" t="n">
        <v>0.5</v>
      </c>
      <c r="J2" s="29">
        <f>I2*2</f>
        <v/>
      </c>
      <c r="K2" s="29">
        <f>E2+G2*H2+J2</f>
        <v/>
      </c>
      <c r="L2" s="29" t="n">
        <v>7</v>
      </c>
      <c r="M2" s="13">
        <f>IF(ABS(K2-L2)&lt;0.01,"YES","NO")</f>
        <v/>
      </c>
    </row>
    <row r="3">
      <c r="A3" s="34" t="inlineStr">
        <is>
          <t>CuAlO2</t>
        </is>
      </c>
      <c r="B3" s="35" t="inlineStr">
        <is>
          <t>Delafossite</t>
        </is>
      </c>
      <c r="C3" s="35" t="inlineStr">
        <is>
          <t>Delafossite</t>
        </is>
      </c>
      <c r="D3" s="35" t="inlineStr">
        <is>
          <t>Cu + 0.5 Al2O3 + 0.25 O2 -&gt; CuAlO2</t>
        </is>
      </c>
      <c r="E3" s="36" t="n">
        <v>1</v>
      </c>
      <c r="F3" s="35" t="inlineStr">
        <is>
          <t>Al2O3</t>
        </is>
      </c>
      <c r="G3" s="36" t="n">
        <v>0.5</v>
      </c>
      <c r="H3" s="36" t="n">
        <v>5</v>
      </c>
      <c r="I3" s="36" t="n">
        <v>0.25</v>
      </c>
      <c r="J3" s="36">
        <f>I3*2</f>
        <v/>
      </c>
      <c r="K3" s="36">
        <f>E3+G3*H3+J3</f>
        <v/>
      </c>
      <c r="L3" s="36" t="n">
        <v>4</v>
      </c>
      <c r="M3" s="37">
        <f>IF(ABS(K3-L3)&lt;0.01,"YES","NO")</f>
        <v/>
      </c>
    </row>
    <row r="4">
      <c r="A4" s="38" t="inlineStr">
        <is>
          <t>CuCr2O4</t>
        </is>
      </c>
      <c r="B4" s="39" t="inlineStr">
        <is>
          <t>Copper chromite spinel</t>
        </is>
      </c>
      <c r="C4" s="39" t="inlineStr">
        <is>
          <t>Spinel</t>
        </is>
      </c>
      <c r="D4" s="39" t="inlineStr">
        <is>
          <t>Cu + Cr2O3 + 0.5 O2 -&gt; CuCr2O4</t>
        </is>
      </c>
      <c r="E4" s="40" t="n">
        <v>1</v>
      </c>
      <c r="F4" s="39" t="inlineStr">
        <is>
          <t>Cr2O3</t>
        </is>
      </c>
      <c r="G4" s="40" t="n">
        <v>1</v>
      </c>
      <c r="H4" s="40" t="n">
        <v>5</v>
      </c>
      <c r="I4" s="40" t="n">
        <v>0.5</v>
      </c>
      <c r="J4" s="40">
        <f>I4*2</f>
        <v/>
      </c>
      <c r="K4" s="40">
        <f>E4+G4*H4+J4</f>
        <v/>
      </c>
      <c r="L4" s="40" t="n">
        <v>7</v>
      </c>
      <c r="M4" s="41">
        <f>IF(ABS(K4-L4)&lt;0.01,"YES","NO")</f>
        <v/>
      </c>
    </row>
    <row r="5">
      <c r="A5" s="16" t="inlineStr">
        <is>
          <t>CuMn2O4</t>
        </is>
      </c>
      <c r="B5" s="19" t="inlineStr">
        <is>
          <t>Copper manganite spinel</t>
        </is>
      </c>
      <c r="C5" s="19" t="inlineStr">
        <is>
          <t>Spinel</t>
        </is>
      </c>
      <c r="D5" s="19" t="inlineStr">
        <is>
          <t>Cu + 2MnO + O2 -&gt; CuMn2O4</t>
        </is>
      </c>
      <c r="E5" s="17" t="n">
        <v>1</v>
      </c>
      <c r="F5" s="19" t="inlineStr">
        <is>
          <t>MnO</t>
        </is>
      </c>
      <c r="G5" s="17" t="n">
        <v>2</v>
      </c>
      <c r="H5" s="17" t="n">
        <v>2</v>
      </c>
      <c r="I5" s="17" t="n">
        <v>1</v>
      </c>
      <c r="J5" s="17">
        <f>I5*2</f>
        <v/>
      </c>
      <c r="K5" s="17">
        <f>E5+G5*H5+J5</f>
        <v/>
      </c>
      <c r="L5" s="17" t="n">
        <v>7</v>
      </c>
      <c r="M5" s="6">
        <f>IF(ABS(K5-L5)&lt;0.01,"YES","NO")</f>
        <v/>
      </c>
    </row>
    <row r="6">
      <c r="A6" s="16" t="inlineStr">
        <is>
          <t>CuFe2O4</t>
        </is>
      </c>
      <c r="B6" s="19" t="inlineStr">
        <is>
          <t>Copper ferrite spinel</t>
        </is>
      </c>
      <c r="C6" s="19" t="inlineStr">
        <is>
          <t>Spinel</t>
        </is>
      </c>
      <c r="D6" s="19" t="inlineStr">
        <is>
          <t>Cu + 2FeO + O2 -&gt; CuFe2O4</t>
        </is>
      </c>
      <c r="E6" s="17" t="n">
        <v>1</v>
      </c>
      <c r="F6" s="19" t="inlineStr">
        <is>
          <t>FeO</t>
        </is>
      </c>
      <c r="G6" s="17" t="n">
        <v>2</v>
      </c>
      <c r="H6" s="17" t="n">
        <v>2</v>
      </c>
      <c r="I6" s="17" t="n">
        <v>1</v>
      </c>
      <c r="J6" s="17">
        <f>I6*2</f>
        <v/>
      </c>
      <c r="K6" s="17">
        <f>E6+G6*H6+J6</f>
        <v/>
      </c>
      <c r="L6" s="17" t="n">
        <v>7</v>
      </c>
      <c r="M6" s="6">
        <f>IF(ABS(K6-L6)&lt;0.01,"YES","NO")</f>
        <v/>
      </c>
    </row>
    <row r="7">
      <c r="A7" s="28" t="inlineStr">
        <is>
          <t>CuCo2O4</t>
        </is>
      </c>
      <c r="B7" s="32" t="inlineStr">
        <is>
          <t>Copper cobaltite spinel</t>
        </is>
      </c>
      <c r="C7" s="32" t="inlineStr">
        <is>
          <t>Spinel</t>
        </is>
      </c>
      <c r="D7" s="32" t="inlineStr">
        <is>
          <t>Cu + 2CoO + O2 -&gt; CuCo2O4</t>
        </is>
      </c>
      <c r="E7" s="29" t="n">
        <v>1</v>
      </c>
      <c r="F7" s="32" t="inlineStr">
        <is>
          <t>CoO</t>
        </is>
      </c>
      <c r="G7" s="29" t="n">
        <v>2</v>
      </c>
      <c r="H7" s="29" t="n">
        <v>2</v>
      </c>
      <c r="I7" s="29" t="n">
        <v>1</v>
      </c>
      <c r="J7" s="29">
        <f>I7*2</f>
        <v/>
      </c>
      <c r="K7" s="29">
        <f>E7+G7*H7+J7</f>
        <v/>
      </c>
      <c r="L7" s="29" t="n">
        <v>7</v>
      </c>
      <c r="M7" s="13">
        <f>IF(ABS(K7-L7)&lt;0.01,"YES","NO")</f>
        <v/>
      </c>
    </row>
    <row r="8">
      <c r="A8" s="42" t="inlineStr">
        <is>
          <t>CuV2O6</t>
        </is>
      </c>
      <c r="B8" s="43" t="inlineStr">
        <is>
          <t>Copper vanadate</t>
        </is>
      </c>
      <c r="C8" s="43" t="inlineStr">
        <is>
          <t>Vanadate</t>
        </is>
      </c>
      <c r="D8" s="43" t="inlineStr">
        <is>
          <t>Cu + V2O5 + 0.5 O2 -&gt; CuV2O6</t>
        </is>
      </c>
      <c r="E8" s="44" t="n">
        <v>1</v>
      </c>
      <c r="F8" s="43" t="inlineStr">
        <is>
          <t>V2O5</t>
        </is>
      </c>
      <c r="G8" s="44" t="n">
        <v>1</v>
      </c>
      <c r="H8" s="44" t="n">
        <v>7</v>
      </c>
      <c r="I8" s="44" t="n">
        <v>0.5</v>
      </c>
      <c r="J8" s="44">
        <f>I8*2</f>
        <v/>
      </c>
      <c r="K8" s="44">
        <f>E8+G8*H8+J8</f>
        <v/>
      </c>
      <c r="L8" s="44" t="n">
        <v>9</v>
      </c>
      <c r="M8" s="45">
        <f>IF(ABS(K8-L8)&lt;0.01,"YES","NO")</f>
        <v/>
      </c>
    </row>
    <row r="9">
      <c r="A9" s="46" t="inlineStr">
        <is>
          <t>Cu3V2O8</t>
        </is>
      </c>
      <c r="B9" s="47" t="inlineStr">
        <is>
          <t>Copper orthovanadate</t>
        </is>
      </c>
      <c r="C9" s="47" t="inlineStr">
        <is>
          <t>Vanadate</t>
        </is>
      </c>
      <c r="D9" s="47" t="inlineStr">
        <is>
          <t>3Cu + V2O5 + 1.5 O2 -&gt; Cu3V2O8</t>
        </is>
      </c>
      <c r="E9" s="48" t="n">
        <v>3</v>
      </c>
      <c r="F9" s="47" t="inlineStr">
        <is>
          <t>V2O5</t>
        </is>
      </c>
      <c r="G9" s="48" t="n">
        <v>1</v>
      </c>
      <c r="H9" s="48" t="n">
        <v>7</v>
      </c>
      <c r="I9" s="48" t="n">
        <v>1.5</v>
      </c>
      <c r="J9" s="48">
        <f>I9*2</f>
        <v/>
      </c>
      <c r="K9" s="48">
        <f>E9+G9*H9+J9</f>
        <v/>
      </c>
      <c r="L9" s="48" t="n">
        <v>13</v>
      </c>
      <c r="M9" s="49">
        <f>IF(ABS(K9-L9)&lt;0.01,"YES","NO")</f>
        <v/>
      </c>
    </row>
    <row r="10">
      <c r="A10" s="50" t="inlineStr">
        <is>
          <t>CuTiO3</t>
        </is>
      </c>
      <c r="B10" s="51" t="inlineStr">
        <is>
          <t>Copper titanate</t>
        </is>
      </c>
      <c r="C10" s="51" t="inlineStr">
        <is>
          <t>Titanate</t>
        </is>
      </c>
      <c r="D10" s="51" t="inlineStr">
        <is>
          <t>Cu + TiO2 + 0.5 O2 -&gt; CuTiO3</t>
        </is>
      </c>
      <c r="E10" s="52" t="n">
        <v>1</v>
      </c>
      <c r="F10" s="51" t="inlineStr">
        <is>
          <t>TiO2</t>
        </is>
      </c>
      <c r="G10" s="52" t="n">
        <v>1</v>
      </c>
      <c r="H10" s="52" t="n">
        <v>3</v>
      </c>
      <c r="I10" s="52" t="n">
        <v>0.5</v>
      </c>
      <c r="J10" s="52">
        <f>I10*2</f>
        <v/>
      </c>
      <c r="K10" s="52">
        <f>E10+G10*H10+J10</f>
        <v/>
      </c>
      <c r="L10" s="52" t="n">
        <v>5</v>
      </c>
      <c r="M10" s="53">
        <f>IF(ABS(K10-L10)&lt;0.01,"YES","NO")</f>
        <v/>
      </c>
    </row>
    <row r="11">
      <c r="A11" s="42" t="inlineStr">
        <is>
          <t>CuSiO3</t>
        </is>
      </c>
      <c r="B11" s="43" t="inlineStr">
        <is>
          <t>Copper metasilicate</t>
        </is>
      </c>
      <c r="C11" s="43" t="inlineStr">
        <is>
          <t>Silicate</t>
        </is>
      </c>
      <c r="D11" s="43" t="inlineStr">
        <is>
          <t>Cu + SiO2 + 0.5 O2 -&gt; CuSiO3</t>
        </is>
      </c>
      <c r="E11" s="44" t="n">
        <v>1</v>
      </c>
      <c r="F11" s="43" t="inlineStr">
        <is>
          <t>SiO2</t>
        </is>
      </c>
      <c r="G11" s="44" t="n">
        <v>1</v>
      </c>
      <c r="H11" s="44" t="n">
        <v>3</v>
      </c>
      <c r="I11" s="44" t="n">
        <v>0.5</v>
      </c>
      <c r="J11" s="44">
        <f>I11*2</f>
        <v/>
      </c>
      <c r="K11" s="44">
        <f>E11+G11*H11+J11</f>
        <v/>
      </c>
      <c r="L11" s="44" t="n">
        <v>5</v>
      </c>
      <c r="M11" s="45">
        <f>IF(ABS(K11-L11)&lt;0.01,"YES","NO")</f>
        <v/>
      </c>
    </row>
    <row r="12">
      <c r="A12" s="46" t="inlineStr">
        <is>
          <t>Cu2SiO4</t>
        </is>
      </c>
      <c r="B12" s="47" t="inlineStr">
        <is>
          <t>Copper orthosilicate</t>
        </is>
      </c>
      <c r="C12" s="47" t="inlineStr">
        <is>
          <t>Silicate</t>
        </is>
      </c>
      <c r="D12" s="47" t="inlineStr">
        <is>
          <t>2Cu + SiO2 + O2 -&gt; Cu2SiO4</t>
        </is>
      </c>
      <c r="E12" s="48" t="n">
        <v>2</v>
      </c>
      <c r="F12" s="47" t="inlineStr">
        <is>
          <t>SiO2</t>
        </is>
      </c>
      <c r="G12" s="48" t="n">
        <v>1</v>
      </c>
      <c r="H12" s="48" t="n">
        <v>3</v>
      </c>
      <c r="I12" s="48" t="n">
        <v>1</v>
      </c>
      <c r="J12" s="48">
        <f>I12*2</f>
        <v/>
      </c>
      <c r="K12" s="48">
        <f>E12+G12*H12+J12</f>
        <v/>
      </c>
      <c r="L12" s="48" t="n">
        <v>7</v>
      </c>
      <c r="M12" s="49">
        <f>IF(ABS(K12-L12)&lt;0.01,"YES","NO")</f>
        <v/>
      </c>
    </row>
    <row r="13">
      <c r="A13" s="38" t="inlineStr">
        <is>
          <t>CuMgO2</t>
        </is>
      </c>
      <c r="B13" s="39" t="inlineStr">
        <is>
          <t>Copper magnesioxide (hyp.)</t>
        </is>
      </c>
      <c r="C13" s="39" t="inlineStr">
        <is>
          <t>Hypothetical</t>
        </is>
      </c>
      <c r="D13" s="39" t="inlineStr">
        <is>
          <t>Cu + MgO + 0.5 O2 -&gt; CuMgO2</t>
        </is>
      </c>
      <c r="E13" s="40" t="n">
        <v>1</v>
      </c>
      <c r="F13" s="39" t="inlineStr">
        <is>
          <t>MgO</t>
        </is>
      </c>
      <c r="G13" s="40" t="n">
        <v>1</v>
      </c>
      <c r="H13" s="40" t="n">
        <v>2</v>
      </c>
      <c r="I13" s="40" t="n">
        <v>0.5</v>
      </c>
      <c r="J13" s="40">
        <f>I13*2</f>
        <v/>
      </c>
      <c r="K13" s="40">
        <f>E13+G13*H13+J13</f>
        <v/>
      </c>
      <c r="L13" s="40" t="n">
        <v>4</v>
      </c>
      <c r="M13" s="41">
        <f>IF(ABS(K13-L13)&lt;0.01,"YES","NO")</f>
        <v/>
      </c>
    </row>
    <row r="14">
      <c r="A14" s="16" t="inlineStr">
        <is>
          <t>CuCaO2</t>
        </is>
      </c>
      <c r="B14" s="19" t="inlineStr">
        <is>
          <t>Copper calcioxide (hyp.)</t>
        </is>
      </c>
      <c r="C14" s="19" t="inlineStr">
        <is>
          <t>Hypothetical</t>
        </is>
      </c>
      <c r="D14" s="19" t="inlineStr">
        <is>
          <t>Cu + CaO + 0.5 O2 -&gt; CuCaO2</t>
        </is>
      </c>
      <c r="E14" s="17" t="n">
        <v>1</v>
      </c>
      <c r="F14" s="19" t="inlineStr">
        <is>
          <t>CaO</t>
        </is>
      </c>
      <c r="G14" s="17" t="n">
        <v>1</v>
      </c>
      <c r="H14" s="17" t="n">
        <v>2</v>
      </c>
      <c r="I14" s="17" t="n">
        <v>0.5</v>
      </c>
      <c r="J14" s="17">
        <f>I14*2</f>
        <v/>
      </c>
      <c r="K14" s="17">
        <f>E14+G14*H14+J14</f>
        <v/>
      </c>
      <c r="L14" s="17" t="n">
        <v>4</v>
      </c>
      <c r="M14" s="6">
        <f>IF(ABS(K14-L14)&lt;0.01,"YES","NO")</f>
        <v/>
      </c>
    </row>
    <row r="15">
      <c r="A15" s="28" t="inlineStr">
        <is>
          <t>CuZrO3</t>
        </is>
      </c>
      <c r="B15" s="32" t="inlineStr">
        <is>
          <t>Copper zirconate (hyp.)</t>
        </is>
      </c>
      <c r="C15" s="32" t="inlineStr">
        <is>
          <t>Hypothetical</t>
        </is>
      </c>
      <c r="D15" s="32" t="inlineStr">
        <is>
          <t>Cu + ZrO2 + 0.5 O2 -&gt; CuZrO3</t>
        </is>
      </c>
      <c r="E15" s="29" t="n">
        <v>1</v>
      </c>
      <c r="F15" s="32" t="inlineStr">
        <is>
          <t>ZrO2</t>
        </is>
      </c>
      <c r="G15" s="29" t="n">
        <v>1</v>
      </c>
      <c r="H15" s="29" t="n">
        <v>3</v>
      </c>
      <c r="I15" s="29" t="n">
        <v>0.5</v>
      </c>
      <c r="J15" s="29">
        <f>I15*2</f>
        <v/>
      </c>
      <c r="K15" s="29">
        <f>E15+G15*H15+J15</f>
        <v/>
      </c>
      <c r="L15" s="29" t="n">
        <v>5</v>
      </c>
      <c r="M15" s="13">
        <f>IF(ABS(K15-L15)&lt;0.01,"YES","NO")</f>
        <v/>
      </c>
    </row>
    <row r="16">
      <c r="A16" s="42" t="inlineStr">
        <is>
          <t>CuNiO2</t>
        </is>
      </c>
      <c r="B16" s="43" t="inlineStr">
        <is>
          <t>Copper nickelate</t>
        </is>
      </c>
      <c r="C16" s="43" t="inlineStr">
        <is>
          <t>Compound</t>
        </is>
      </c>
      <c r="D16" s="43" t="inlineStr">
        <is>
          <t>Cu + NiO + 0.5 O2 -&gt; CuNiO2</t>
        </is>
      </c>
      <c r="E16" s="44" t="n">
        <v>1</v>
      </c>
      <c r="F16" s="43" t="inlineStr">
        <is>
          <t>NiO</t>
        </is>
      </c>
      <c r="G16" s="44" t="n">
        <v>1</v>
      </c>
      <c r="H16" s="44" t="n">
        <v>2</v>
      </c>
      <c r="I16" s="44" t="n">
        <v>0.5</v>
      </c>
      <c r="J16" s="44">
        <f>I16*2</f>
        <v/>
      </c>
      <c r="K16" s="44">
        <f>E16+G16*H16+J16</f>
        <v/>
      </c>
      <c r="L16" s="44" t="n">
        <v>4</v>
      </c>
      <c r="M16" s="45">
        <f>IF(ABS(K16-L16)&lt;0.01,"YES","NO")</f>
        <v/>
      </c>
    </row>
    <row r="17">
      <c r="A17" s="46" t="inlineStr">
        <is>
          <t>CuLaO2</t>
        </is>
      </c>
      <c r="B17" s="47" t="inlineStr">
        <is>
          <t>Copper lanthanum oxide</t>
        </is>
      </c>
      <c r="C17" s="47" t="inlineStr">
        <is>
          <t>Compound</t>
        </is>
      </c>
      <c r="D17" s="47" t="inlineStr">
        <is>
          <t>Cu + 0.5 La2O3 + 0.25 O2 -&gt; CuLaO2</t>
        </is>
      </c>
      <c r="E17" s="48" t="n">
        <v>1</v>
      </c>
      <c r="F17" s="47" t="inlineStr">
        <is>
          <t>La2O3</t>
        </is>
      </c>
      <c r="G17" s="48" t="n">
        <v>0.5</v>
      </c>
      <c r="H17" s="48" t="n">
        <v>5</v>
      </c>
      <c r="I17" s="48" t="n">
        <v>0.25</v>
      </c>
      <c r="J17" s="48">
        <f>I17*2</f>
        <v/>
      </c>
      <c r="K17" s="48">
        <f>E17+G17*H17+J17</f>
        <v/>
      </c>
      <c r="L17" s="48" t="n">
        <v>4</v>
      </c>
      <c r="M17" s="49">
        <f>IF(ABS(K17-L17)&lt;0.01,"YES","NO")</f>
        <v/>
      </c>
    </row>
    <row r="18">
      <c r="A18" s="50" t="inlineStr">
        <is>
          <t>CuCeO3</t>
        </is>
      </c>
      <c r="B18" s="51" t="inlineStr">
        <is>
          <t>Copper cerate (hyp.)</t>
        </is>
      </c>
      <c r="C18" s="51" t="inlineStr">
        <is>
          <t>Hypothetical</t>
        </is>
      </c>
      <c r="D18" s="51" t="inlineStr">
        <is>
          <t>Cu + CeO2 + 0.5 O2 -&gt; CuCeO3</t>
        </is>
      </c>
      <c r="E18" s="52" t="n">
        <v>1</v>
      </c>
      <c r="F18" s="51" t="inlineStr">
        <is>
          <t>CeO2</t>
        </is>
      </c>
      <c r="G18" s="52" t="n">
        <v>1</v>
      </c>
      <c r="H18" s="52" t="n">
        <v>3</v>
      </c>
      <c r="I18" s="52" t="n">
        <v>0.5</v>
      </c>
      <c r="J18" s="52">
        <f>I18*2</f>
        <v/>
      </c>
      <c r="K18" s="52">
        <f>E18+G18*H18+J18</f>
        <v/>
      </c>
      <c r="L18" s="52" t="n">
        <v>5</v>
      </c>
      <c r="M18" s="53">
        <f>IF(ABS(K18-L18)&lt;0.01,"YES","NO")</f>
        <v/>
      </c>
    </row>
    <row r="19">
      <c r="A19" s="34" t="inlineStr">
        <is>
          <t>CuB2O4</t>
        </is>
      </c>
      <c r="B19" s="35" t="inlineStr">
        <is>
          <t>Copper borate</t>
        </is>
      </c>
      <c r="C19" s="35" t="inlineStr">
        <is>
          <t>Borate</t>
        </is>
      </c>
      <c r="D19" s="35" t="inlineStr">
        <is>
          <t>Cu + B2O3 + 0.5 O2 -&gt; CuB2O4</t>
        </is>
      </c>
      <c r="E19" s="36" t="n">
        <v>1</v>
      </c>
      <c r="F19" s="35" t="inlineStr">
        <is>
          <t>B2O3</t>
        </is>
      </c>
      <c r="G19" s="36" t="n">
        <v>1</v>
      </c>
      <c r="H19" s="36" t="n">
        <v>5</v>
      </c>
      <c r="I19" s="36" t="n">
        <v>0.5</v>
      </c>
      <c r="J19" s="36">
        <f>I19*2</f>
        <v/>
      </c>
      <c r="K19" s="36">
        <f>E19+G19*H19+J19</f>
        <v/>
      </c>
      <c r="L19" s="36" t="n">
        <v>7</v>
      </c>
      <c r="M19" s="37">
        <f>IF(ABS(K19-L19)&lt;0.01,"YES","NO")</f>
        <v/>
      </c>
    </row>
    <row r="22">
      <c r="A22" s="14" t="inlineStr">
        <is>
          <t>Notes:</t>
        </is>
      </c>
    </row>
    <row r="23">
      <c r="A23" s="15" t="inlineStr">
        <is>
          <t>All reactions require oxygen. In steelmaking, O2 comes from dissolved oxygen or atmosphere.</t>
        </is>
      </c>
    </row>
    <row r="24">
      <c r="A24" s="15" t="inlineStr">
        <is>
          <t>FORMULA CELLS: Cols J (O from O2), K (total atoms), M (balanced check) are Excel formulas.</t>
        </is>
      </c>
    </row>
    <row r="25">
      <c r="A25" s="15" t="inlineStr">
        <is>
          <t>Total formula cells: 54.</t>
        </is>
      </c>
    </row>
    <row r="26">
      <c r="A26" s="15" t="inlineStr">
        <is>
          <t>n(oxide) = moles of binary oxide consumed per mole of ternary product.</t>
        </is>
      </c>
    </row>
    <row r="27">
      <c r="A27" s="15" t="inlineStr">
        <is>
          <t>Oxide Atoms = atoms per formula unit (e.g., Al2O3 = 5).</t>
        </is>
      </c>
    </row>
    <row r="28">
      <c r="A28" s="15" t="inlineStr">
        <is>
          <t>Total Reactant Atoms must equal Product Atoms for balanced reaction.</t>
        </is>
      </c>
    </row>
    <row r="29">
      <c r="A29" s="15" t="inlineStr">
        <is>
          <t>Hypothetical compounds have no known crystal structure; TC-Python determines stability.</t>
        </is>
      </c>
    </row>
  </sheetData>
  <conditionalFormatting sqref="M2:M19">
    <cfRule type="cellIs" priority="1" operator="equal" dxfId="1">
      <formula>"YES"</formula>
    </cfRule>
    <cfRule type="cellIs" priority="2" operator="equal" dxfId="0">
      <formula>"NO"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31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8" customWidth="1" min="2" max="2"/>
    <col width="10" customWidth="1" min="3" max="3"/>
    <col width="40" customWidth="1" min="4" max="4"/>
    <col width="12" customWidth="1" min="5" max="5"/>
    <col width="12" customWidth="1" min="6" max="6"/>
    <col width="7" customWidth="1" min="7" max="7"/>
    <col width="7" customWidth="1" min="8" max="8"/>
    <col width="8" customWidth="1" min="9" max="9"/>
    <col width="7" customWidth="1" min="10" max="10"/>
    <col width="7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4" customWidth="1" min="17" max="17"/>
    <col width="22" customWidth="1" min="18" max="18"/>
    <col width="40" customWidth="1" min="19" max="19"/>
  </cols>
  <sheetData>
    <row r="1" ht="55" customHeight="1">
      <c r="A1" s="1" t="inlineStr">
        <is>
          <t>Product</t>
        </is>
      </c>
      <c r="B1" s="2" t="inlineStr">
        <is>
          <t>Name</t>
        </is>
      </c>
      <c r="C1" s="2" t="inlineStr">
        <is>
          <t>Oxide</t>
        </is>
      </c>
      <c r="D1" s="2" t="inlineStr">
        <is>
          <t>Reaction</t>
        </is>
      </c>
      <c r="E1" s="2" t="inlineStr">
        <is>
          <t>dG_rxn
@ 727C
(kJ)</t>
        </is>
      </c>
      <c r="F1" s="2" t="inlineStr">
        <is>
          <t>dG_rxn
@ 1227C
(kJ)</t>
        </is>
      </c>
      <c r="G1" s="2" t="inlineStr">
        <is>
          <t>Prod
Atoms</t>
        </is>
      </c>
      <c r="H1" s="2" t="inlineStr">
        <is>
          <t>n_Cu</t>
        </is>
      </c>
      <c r="I1" s="2" t="inlineStr">
        <is>
          <t>n_oxide</t>
        </is>
      </c>
      <c r="J1" s="2" t="inlineStr">
        <is>
          <t>Oxide
Atoms</t>
        </is>
      </c>
      <c r="K1" s="2" t="inlineStr">
        <is>
          <t>n_O₂</t>
        </is>
      </c>
      <c r="L1" s="2" t="inlineStr">
        <is>
          <t>GM_product
@ 1800K
(J/mol-at)</t>
        </is>
      </c>
      <c r="M1" s="2" t="inlineStr">
        <is>
          <t>G_Cu
@ 1800K
(J/mol)</t>
        </is>
      </c>
      <c r="N1" s="2" t="inlineStr">
        <is>
          <t>GM_oxide
@ 1800K
(J/mol-at)</t>
        </is>
      </c>
      <c r="O1" s="2" t="inlineStr">
        <is>
          <t>G_O₂
@ 1800K
(J/mol)</t>
        </is>
      </c>
      <c r="P1" s="2" t="inlineStr">
        <is>
          <t>dG_rxn
@ 1527C
(kJ) FORMULA</t>
        </is>
      </c>
      <c r="Q1" s="2" t="inlineStr">
        <is>
          <t>dG_rxn
@ 1527C
(kJ) CSV</t>
        </is>
      </c>
      <c r="R1" s="2" t="inlineStr">
        <is>
          <t>Ternary Phase
@ 1527C</t>
        </is>
      </c>
      <c r="S1" s="3" t="inlineStr">
        <is>
          <t>Stable Phases
@ 1527C</t>
        </is>
      </c>
    </row>
    <row r="2">
      <c r="A2" s="28" t="inlineStr">
        <is>
          <t>CuAl2O4</t>
        </is>
      </c>
      <c r="B2" s="32" t="inlineStr">
        <is>
          <t>Copper aluminate spinel</t>
        </is>
      </c>
      <c r="C2" s="29" t="inlineStr">
        <is>
          <t>Al2O3</t>
        </is>
      </c>
      <c r="D2" s="32" t="inlineStr">
        <is>
          <t>Cu + Al2O3 + 0.5 O2 -&gt; CuAl2O4</t>
        </is>
      </c>
      <c r="E2" s="54" t="n">
        <v>-72.7</v>
      </c>
      <c r="F2" s="54" t="n">
        <v>-38.8</v>
      </c>
      <c r="G2" s="55" t="n">
        <v>7</v>
      </c>
      <c r="H2" s="55" t="n">
        <v>1</v>
      </c>
      <c r="I2" s="55" t="n">
        <v>1</v>
      </c>
      <c r="J2" s="55" t="n">
        <v>5</v>
      </c>
      <c r="K2" s="55" t="n">
        <v>0.5</v>
      </c>
      <c r="L2" s="56" t="n">
        <v>-330029.0581573521</v>
      </c>
      <c r="M2" s="56" t="n">
        <v>-110460.5952933756</v>
      </c>
      <c r="N2" s="56" t="n">
        <v>-391060.1072913086</v>
      </c>
      <c r="O2" s="56" t="n">
        <v>-424772.0805032522</v>
      </c>
      <c r="P2" s="57">
        <f>(L2*G2-(H2*M2+I2*J2*N2+K2*O2))/1000</f>
        <v/>
      </c>
      <c r="Q2" s="58" t="n">
        <v>-32.3</v>
      </c>
      <c r="R2" s="32" t="inlineStr">
        <is>
          <t>SPINEL#1 (Stable up to 1550K (1277C))</t>
        </is>
      </c>
      <c r="S2" s="33" t="inlineStr">
        <is>
          <t>CORUNDUM#1; GAS#1; IONIC_LIQ#2</t>
        </is>
      </c>
    </row>
    <row r="3">
      <c r="A3" s="34" t="inlineStr">
        <is>
          <t>CuAlO2</t>
        </is>
      </c>
      <c r="B3" s="35" t="inlineStr">
        <is>
          <t>Delafossite</t>
        </is>
      </c>
      <c r="C3" s="36" t="inlineStr">
        <is>
          <t>Al2O3</t>
        </is>
      </c>
      <c r="D3" s="35" t="inlineStr">
        <is>
          <t>Cu + 0.5 Al2O3 + 0.25 O2 -&gt; CuAlO2</t>
        </is>
      </c>
      <c r="E3" s="59" t="n">
        <v>-52.5</v>
      </c>
      <c r="F3" s="59" t="n">
        <v>-35</v>
      </c>
      <c r="G3" s="60" t="n">
        <v>4</v>
      </c>
      <c r="H3" s="60" t="n">
        <v>1</v>
      </c>
      <c r="I3" s="60" t="n">
        <v>0.5</v>
      </c>
      <c r="J3" s="60" t="n">
        <v>5</v>
      </c>
      <c r="K3" s="60" t="n">
        <v>0.25</v>
      </c>
      <c r="L3" s="61" t="n">
        <v>-306068.434453067</v>
      </c>
      <c r="M3" s="61" t="n">
        <v>-110460.5952933756</v>
      </c>
      <c r="N3" s="61" t="n">
        <v>-391060.1072913086</v>
      </c>
      <c r="O3" s="61" t="n">
        <v>-424772.0805032522</v>
      </c>
      <c r="P3" s="62">
        <f>(L3*G3-(H3*M3+I3*J3*N3+K3*O3))/1000</f>
        <v/>
      </c>
      <c r="Q3" s="63" t="n">
        <v>-30.1</v>
      </c>
      <c r="R3" s="35" t="inlineStr">
        <is>
          <t>DELAFOSSITE#1 (Stable up to 1550K (1277C))</t>
        </is>
      </c>
      <c r="S3" s="64" t="inlineStr">
        <is>
          <t>CORUNDUM#1; IONIC_LIQ#1; IONIC_LIQ#2</t>
        </is>
      </c>
    </row>
    <row r="4">
      <c r="A4" s="38" t="inlineStr">
        <is>
          <t>CuCr2O4</t>
        </is>
      </c>
      <c r="B4" s="39" t="inlineStr">
        <is>
          <t>Copper chromite spinel</t>
        </is>
      </c>
      <c r="C4" s="40" t="inlineStr">
        <is>
          <t>Cr2O3</t>
        </is>
      </c>
      <c r="D4" s="39" t="inlineStr">
        <is>
          <t>Cu + Cr2O3 + 0.5 O2 -&gt; CuCr2O4</t>
        </is>
      </c>
      <c r="E4" s="65" t="n">
        <v>-82.3</v>
      </c>
      <c r="F4" s="65" t="n">
        <v>-43.7</v>
      </c>
      <c r="G4" s="66" t="n">
        <v>7</v>
      </c>
      <c r="H4" s="66" t="n">
        <v>1</v>
      </c>
      <c r="I4" s="66" t="n">
        <v>1</v>
      </c>
      <c r="J4" s="66" t="n">
        <v>5</v>
      </c>
      <c r="K4" s="66" t="n">
        <v>0.5</v>
      </c>
      <c r="L4" s="67" t="n">
        <v>-262147.7620709376</v>
      </c>
      <c r="M4" s="67" t="n">
        <v>-110460.5952933756</v>
      </c>
      <c r="N4" s="67" t="n">
        <v>-296471.243515468</v>
      </c>
      <c r="O4" s="67" t="n">
        <v>-424772.0805032522</v>
      </c>
      <c r="P4" s="68">
        <f>(L4*G4-(H4*M4+I4*J4*N4+K4*O4))/1000</f>
        <v/>
      </c>
      <c r="Q4" s="69" t="n">
        <v>-30</v>
      </c>
      <c r="R4" s="39" t="inlineStr">
        <is>
          <t>SPINEL#1 (Stable up to 1450K (1177C))</t>
        </is>
      </c>
      <c r="S4" s="70" t="inlineStr">
        <is>
          <t>CORUNDUM#1; DELAFOSSITE#1; GAS#1</t>
        </is>
      </c>
    </row>
    <row r="5">
      <c r="A5" s="21" t="inlineStr">
        <is>
          <t>CuMn2O4</t>
        </is>
      </c>
      <c r="B5" s="24" t="inlineStr">
        <is>
          <t>Copper manganite spinel</t>
        </is>
      </c>
      <c r="C5" s="22" t="inlineStr">
        <is>
          <t>MnO</t>
        </is>
      </c>
      <c r="D5" s="24" t="inlineStr">
        <is>
          <t>Cu + 2MnO + O2 -&gt; CuMn2O4</t>
        </is>
      </c>
      <c r="E5" s="71" t="n">
        <v>-161.8</v>
      </c>
      <c r="F5" s="71" t="n">
        <v>-79.2</v>
      </c>
      <c r="G5" s="72" t="n">
        <v>7</v>
      </c>
      <c r="H5" s="72" t="n">
        <v>1</v>
      </c>
      <c r="I5" s="72" t="n">
        <v>2</v>
      </c>
      <c r="J5" s="72" t="n">
        <v>2</v>
      </c>
      <c r="K5" s="72" t="n">
        <v>1</v>
      </c>
      <c r="L5" s="73" t="n">
        <v>-251354.9915712239</v>
      </c>
      <c r="M5" s="73" t="n">
        <v>-110460.5952933756</v>
      </c>
      <c r="N5" s="73" t="n">
        <v>-289951.205534343</v>
      </c>
      <c r="O5" s="73" t="n">
        <v>-424772.0805032522</v>
      </c>
      <c r="P5" s="74">
        <f>(L5*G5-(H5*M5+I5*J5*N5+K5*O5))/1000</f>
        <v/>
      </c>
      <c r="Q5" s="75" t="n">
        <v>-64.40000000000001</v>
      </c>
      <c r="R5" s="24" t="inlineStr">
        <is>
          <t>SPINEL#1 (Stable up to 1700K (1427C))</t>
        </is>
      </c>
      <c r="S5" s="25" t="inlineStr">
        <is>
          <t>GAS#1; IONIC_LIQ#2</t>
        </is>
      </c>
    </row>
    <row r="6">
      <c r="A6" s="16" t="inlineStr">
        <is>
          <t>CuFe2O4</t>
        </is>
      </c>
      <c r="B6" s="19" t="inlineStr">
        <is>
          <t>Copper ferrite spinel</t>
        </is>
      </c>
      <c r="C6" s="17" t="inlineStr">
        <is>
          <t>FeO</t>
        </is>
      </c>
      <c r="D6" s="19" t="inlineStr">
        <is>
          <t>Cu + 2FeO + O2 -&gt; CuFe2O4</t>
        </is>
      </c>
      <c r="E6" s="76" t="n">
        <v>-235.7</v>
      </c>
      <c r="F6" s="76" t="n">
        <v>-149.6</v>
      </c>
      <c r="G6" s="77" t="n">
        <v>7</v>
      </c>
      <c r="H6" s="77" t="n">
        <v>1</v>
      </c>
      <c r="I6" s="77" t="n">
        <v>2</v>
      </c>
      <c r="J6" s="77" t="n">
        <v>2</v>
      </c>
      <c r="K6" s="77" t="n">
        <v>1</v>
      </c>
      <c r="L6" s="78" t="n">
        <v>-226811.1911823935</v>
      </c>
      <c r="M6" s="78" t="n">
        <v>-110460.5952933756</v>
      </c>
      <c r="N6" s="78" t="n">
        <v>-235131.7350722072</v>
      </c>
      <c r="O6" s="78" t="n">
        <v>-424772.0805032522</v>
      </c>
      <c r="P6" s="79">
        <f>(L6*G6-(H6*M6+I6*J6*N6+K6*O6))/1000</f>
        <v/>
      </c>
      <c r="Q6" s="80" t="n">
        <v>-111.9</v>
      </c>
      <c r="R6" s="19" t="inlineStr">
        <is>
          <t>SPINEL#1 (Stable up to 1700K (1427C))</t>
        </is>
      </c>
      <c r="S6" s="20" t="inlineStr">
        <is>
          <t>GAS#1; IONIC_LIQ#2</t>
        </is>
      </c>
    </row>
    <row r="7">
      <c r="A7" s="46" t="inlineStr">
        <is>
          <t>CuCo2O4</t>
        </is>
      </c>
      <c r="B7" s="47" t="inlineStr">
        <is>
          <t>Copper cobaltite spinel</t>
        </is>
      </c>
      <c r="C7" s="48" t="inlineStr">
        <is>
          <t>CoO</t>
        </is>
      </c>
      <c r="D7" s="47" t="inlineStr">
        <is>
          <t>Cu + 2CoO + O2 -&gt; CuCo2O4</t>
        </is>
      </c>
      <c r="E7" s="81" t="n">
        <v>-91.40000000000001</v>
      </c>
      <c r="F7" s="81" t="n">
        <v>-40.8</v>
      </c>
      <c r="G7" s="82" t="n">
        <v>7</v>
      </c>
      <c r="H7" s="82" t="n">
        <v>1</v>
      </c>
      <c r="I7" s="82" t="n">
        <v>2</v>
      </c>
      <c r="J7" s="82" t="n">
        <v>2</v>
      </c>
      <c r="K7" s="82" t="n">
        <v>1</v>
      </c>
      <c r="L7" s="83" t="n">
        <v>-203900.5722657952</v>
      </c>
      <c r="M7" s="83" t="n">
        <v>-110460.5952933756</v>
      </c>
      <c r="N7" s="83" t="n">
        <v>-214067.5709469352</v>
      </c>
      <c r="O7" s="83" t="n">
        <v>-424772.0805032522</v>
      </c>
      <c r="P7" s="84">
        <f>(L7*G7-(H7*M7+I7*J7*N7+K7*O7))/1000</f>
        <v/>
      </c>
      <c r="Q7" s="85" t="n">
        <v>-35.8</v>
      </c>
      <c r="R7" s="47" t="inlineStr">
        <is>
          <t>SPINEL#1 (Stable up to 1150K (877C))</t>
        </is>
      </c>
      <c r="S7" s="86" t="inlineStr">
        <is>
          <t>GAS#1; HALITE#1; IONIC_LIQ#2</t>
        </is>
      </c>
    </row>
    <row r="8">
      <c r="A8" s="38" t="inlineStr">
        <is>
          <t>CuV2O6</t>
        </is>
      </c>
      <c r="B8" s="39" t="inlineStr">
        <is>
          <t>Copper vanadate</t>
        </is>
      </c>
      <c r="C8" s="40" t="inlineStr">
        <is>
          <t>V2O5</t>
        </is>
      </c>
      <c r="D8" s="39" t="inlineStr">
        <is>
          <t>Cu + V2O5 + 0.5 O2 -&gt; CuV2O6</t>
        </is>
      </c>
      <c r="E8" s="65" t="n">
        <v>-66.7</v>
      </c>
      <c r="F8" s="65" t="n">
        <v>-49.5</v>
      </c>
      <c r="G8" s="66" t="n">
        <v>9</v>
      </c>
      <c r="H8" s="66" t="n">
        <v>1</v>
      </c>
      <c r="I8" s="66" t="n">
        <v>1</v>
      </c>
      <c r="J8" s="66" t="n">
        <v>7</v>
      </c>
      <c r="K8" s="66" t="n">
        <v>0.5</v>
      </c>
      <c r="L8" s="67" t="n">
        <v>-278155.0248504493</v>
      </c>
      <c r="M8" s="67" t="n">
        <v>-110460.5952933756</v>
      </c>
      <c r="N8" s="67" t="n">
        <v>-305109.3196037025</v>
      </c>
      <c r="O8" s="67" t="n">
        <v>-424772.0805032522</v>
      </c>
      <c r="P8" s="68">
        <f>(L8*G8-(H8*M8+I8*J8*N8+K8*O8))/1000</f>
        <v/>
      </c>
      <c r="Q8" s="69" t="n">
        <v>-45</v>
      </c>
      <c r="R8" s="39" t="inlineStr">
        <is>
          <t>Dissolved in ionic liquid</t>
        </is>
      </c>
      <c r="S8" s="70" t="inlineStr">
        <is>
          <t>GAS#1; IONIC_LIQ#2</t>
        </is>
      </c>
    </row>
    <row r="9">
      <c r="A9" s="46" t="inlineStr">
        <is>
          <t>Cu3V2O8</t>
        </is>
      </c>
      <c r="B9" s="47" t="inlineStr">
        <is>
          <t>Copper orthovanadate</t>
        </is>
      </c>
      <c r="C9" s="48" t="inlineStr">
        <is>
          <t>V2O5</t>
        </is>
      </c>
      <c r="D9" s="47" t="inlineStr">
        <is>
          <t>3Cu + V2O5 + 1.5 O2 -&gt; Cu3V2O8</t>
        </is>
      </c>
      <c r="E9" s="81" t="n">
        <v>-198.7</v>
      </c>
      <c r="F9" s="81" t="n">
        <v>-127.1</v>
      </c>
      <c r="G9" s="82" t="n">
        <v>13</v>
      </c>
      <c r="H9" s="82" t="n">
        <v>3</v>
      </c>
      <c r="I9" s="82" t="n">
        <v>1</v>
      </c>
      <c r="J9" s="82" t="n">
        <v>7</v>
      </c>
      <c r="K9" s="82" t="n">
        <v>1.5</v>
      </c>
      <c r="L9" s="83" t="n">
        <v>-247173.7118812478</v>
      </c>
      <c r="M9" s="83" t="n">
        <v>-110460.5952933756</v>
      </c>
      <c r="N9" s="83" t="n">
        <v>-305109.3196037025</v>
      </c>
      <c r="O9" s="83" t="n">
        <v>-424772.0805032522</v>
      </c>
      <c r="P9" s="84">
        <f>(L9*G9-(H9*M9+I9*J9*N9+K9*O9))/1000</f>
        <v/>
      </c>
      <c r="Q9" s="85" t="n">
        <v>-109.2</v>
      </c>
      <c r="R9" s="47" t="inlineStr">
        <is>
          <t>Dissolved in ionic liquid</t>
        </is>
      </c>
      <c r="S9" s="86" t="inlineStr">
        <is>
          <t>GAS#1; IONIC_LIQ#2</t>
        </is>
      </c>
    </row>
    <row r="10">
      <c r="A10" s="50" t="inlineStr">
        <is>
          <t>CuTiO3</t>
        </is>
      </c>
      <c r="B10" s="51" t="inlineStr">
        <is>
          <t>Copper titanate</t>
        </is>
      </c>
      <c r="C10" s="52" t="inlineStr">
        <is>
          <t>TiO2</t>
        </is>
      </c>
      <c r="D10" s="51" t="inlineStr">
        <is>
          <t>Cu + TiO2 + 0.5 O2 -&gt; CuTiO3</t>
        </is>
      </c>
      <c r="E10" s="87" t="n">
        <v>-66.2</v>
      </c>
      <c r="F10" s="87" t="n">
        <v>-37.3</v>
      </c>
      <c r="G10" s="88" t="n">
        <v>5</v>
      </c>
      <c r="H10" s="88" t="n">
        <v>1</v>
      </c>
      <c r="I10" s="88" t="n">
        <v>1</v>
      </c>
      <c r="J10" s="88" t="n">
        <v>3</v>
      </c>
      <c r="K10" s="88" t="n">
        <v>0.5</v>
      </c>
      <c r="L10" s="89" t="n">
        <v>-302140.2488485489</v>
      </c>
      <c r="M10" s="89" t="n">
        <v>-110460.5952933756</v>
      </c>
      <c r="N10" s="89" t="n">
        <v>-383573.9712871907</v>
      </c>
      <c r="O10" s="89" t="n">
        <v>-424772.0805032522</v>
      </c>
      <c r="P10" s="90">
        <f>(L10*G10-(H10*M10+I10*J10*N10+K10*O10))/1000</f>
        <v/>
      </c>
      <c r="Q10" s="91" t="n">
        <v>-36.8</v>
      </c>
      <c r="R10" s="51" t="inlineStr">
        <is>
          <t>Dissolved in ionic liquid</t>
        </is>
      </c>
      <c r="S10" s="92" t="inlineStr">
        <is>
          <t>GAS#1; IONIC_LIQ#2</t>
        </is>
      </c>
    </row>
    <row r="11">
      <c r="A11" s="42" t="inlineStr">
        <is>
          <t>CuSiO3</t>
        </is>
      </c>
      <c r="B11" s="43" t="inlineStr">
        <is>
          <t>Copper metasilicate</t>
        </is>
      </c>
      <c r="C11" s="44" t="inlineStr">
        <is>
          <t>SiO2</t>
        </is>
      </c>
      <c r="D11" s="43" t="inlineStr">
        <is>
          <t>Cu + SiO2 + 0.5 O2 -&gt; CuSiO3</t>
        </is>
      </c>
      <c r="E11" s="93" t="n">
        <v>-66.2</v>
      </c>
      <c r="F11" s="93" t="n">
        <v>-32.9</v>
      </c>
      <c r="G11" s="94" t="n">
        <v>5</v>
      </c>
      <c r="H11" s="94" t="n">
        <v>1</v>
      </c>
      <c r="I11" s="94" t="n">
        <v>1</v>
      </c>
      <c r="J11" s="94" t="n">
        <v>3</v>
      </c>
      <c r="K11" s="94" t="n">
        <v>0.5</v>
      </c>
      <c r="L11" s="95" t="n">
        <v>-288510.8415733827</v>
      </c>
      <c r="M11" s="95" t="n">
        <v>-110460.5952933756</v>
      </c>
      <c r="N11" s="95" t="n">
        <v>-364407.9370427133</v>
      </c>
      <c r="O11" s="95" t="n">
        <v>-424772.0805032522</v>
      </c>
      <c r="P11" s="96">
        <f>(L11*G11-(H11*M11+I11*J11*N11+K11*O11))/1000</f>
        <v/>
      </c>
      <c r="Q11" s="97" t="n">
        <v>-26.2</v>
      </c>
      <c r="R11" s="43" t="inlineStr">
        <is>
          <t>Dissolved in ionic liquid</t>
        </is>
      </c>
      <c r="S11" s="98" t="inlineStr">
        <is>
          <t>CRISTOBALITE#1; GAS#1; IONIC_LIQ#2</t>
        </is>
      </c>
    </row>
    <row r="12">
      <c r="A12" s="28" t="inlineStr">
        <is>
          <t>Cu2SiO4</t>
        </is>
      </c>
      <c r="B12" s="32" t="inlineStr">
        <is>
          <t>Copper orthosilicate</t>
        </is>
      </c>
      <c r="C12" s="29" t="inlineStr">
        <is>
          <t>SiO2</t>
        </is>
      </c>
      <c r="D12" s="32" t="inlineStr">
        <is>
          <t>2Cu + SiO2 + O2 -&gt; Cu2SiO4</t>
        </is>
      </c>
      <c r="E12" s="54" t="n">
        <v>-132.2</v>
      </c>
      <c r="F12" s="54" t="n">
        <v>-65.7</v>
      </c>
      <c r="G12" s="55" t="n">
        <v>7</v>
      </c>
      <c r="H12" s="55" t="n">
        <v>2</v>
      </c>
      <c r="I12" s="55" t="n">
        <v>1</v>
      </c>
      <c r="J12" s="55" t="n">
        <v>3</v>
      </c>
      <c r="K12" s="55" t="n">
        <v>1</v>
      </c>
      <c r="L12" s="56" t="n">
        <v>-255918.2974852123</v>
      </c>
      <c r="M12" s="56" t="n">
        <v>-110460.5952933756</v>
      </c>
      <c r="N12" s="56" t="n">
        <v>-364407.9370427133</v>
      </c>
      <c r="O12" s="56" t="n">
        <v>-424772.0805032522</v>
      </c>
      <c r="P12" s="57">
        <f>(L12*G12-(H12*M12+I12*J12*N12+K12*O12))/1000</f>
        <v/>
      </c>
      <c r="Q12" s="58" t="n">
        <v>-52.2</v>
      </c>
      <c r="R12" s="32" t="inlineStr">
        <is>
          <t>Dissolved in ionic liquid</t>
        </is>
      </c>
      <c r="S12" s="33" t="inlineStr">
        <is>
          <t>CRISTOBALITE#1; GAS#1; IONIC_LIQ#2</t>
        </is>
      </c>
    </row>
    <row r="13">
      <c r="A13" s="42" t="inlineStr">
        <is>
          <t>CuMgO2</t>
        </is>
      </c>
      <c r="B13" s="43" t="inlineStr">
        <is>
          <t>Copper magnesioxide (hyp.)</t>
        </is>
      </c>
      <c r="C13" s="44" t="inlineStr">
        <is>
          <t>MgO</t>
        </is>
      </c>
      <c r="D13" s="43" t="inlineStr">
        <is>
          <t>Cu + MgO + 0.5 O2 -&gt; CuMgO2</t>
        </is>
      </c>
      <c r="E13" s="93" t="n">
        <v>-67.90000000000001</v>
      </c>
      <c r="F13" s="93" t="n">
        <v>-33.9</v>
      </c>
      <c r="G13" s="94" t="n">
        <v>4</v>
      </c>
      <c r="H13" s="94" t="n">
        <v>1</v>
      </c>
      <c r="I13" s="94" t="n">
        <v>1</v>
      </c>
      <c r="J13" s="94" t="n">
        <v>2</v>
      </c>
      <c r="K13" s="94" t="n">
        <v>0.5</v>
      </c>
      <c r="L13" s="95" t="n">
        <v>-269776.9427837598</v>
      </c>
      <c r="M13" s="95" t="n">
        <v>-110460.5952933756</v>
      </c>
      <c r="N13" s="95" t="n">
        <v>-365091.5399254378</v>
      </c>
      <c r="O13" s="95" t="n">
        <v>-424772.0805032522</v>
      </c>
      <c r="P13" s="96">
        <f>(L13*G13-(H13*M13+I13*J13*N13+K13*O13))/1000</f>
        <v/>
      </c>
      <c r="Q13" s="97" t="n">
        <v>-26.1</v>
      </c>
      <c r="R13" s="43" t="inlineStr">
        <is>
          <t>Dissolved in ionic liquid</t>
        </is>
      </c>
      <c r="S13" s="98" t="inlineStr">
        <is>
          <t>GAS#1; HALITE#1; IONIC_LIQ#2</t>
        </is>
      </c>
    </row>
    <row r="14">
      <c r="A14" s="16" t="inlineStr">
        <is>
          <t>CuCaO2</t>
        </is>
      </c>
      <c r="B14" s="19" t="inlineStr">
        <is>
          <t>Copper calcioxide (hyp.)</t>
        </is>
      </c>
      <c r="C14" s="17" t="inlineStr">
        <is>
          <t>CaO</t>
        </is>
      </c>
      <c r="D14" s="19" t="inlineStr">
        <is>
          <t>Cu + CaO + 0.5 O2 -&gt; CuCaO2</t>
        </is>
      </c>
      <c r="E14" s="76" t="n">
        <v>-67.3</v>
      </c>
      <c r="F14" s="76" t="n">
        <v>-36.6</v>
      </c>
      <c r="G14" s="77" t="n">
        <v>4</v>
      </c>
      <c r="H14" s="77" t="n">
        <v>1</v>
      </c>
      <c r="I14" s="77" t="n">
        <v>1</v>
      </c>
      <c r="J14" s="77" t="n">
        <v>2</v>
      </c>
      <c r="K14" s="77" t="n">
        <v>0.5</v>
      </c>
      <c r="L14" s="78" t="n">
        <v>-285774.276838706</v>
      </c>
      <c r="M14" s="78" t="n">
        <v>-110460.5952933756</v>
      </c>
      <c r="N14" s="78" t="n">
        <v>-394797.2636177477</v>
      </c>
      <c r="O14" s="78" t="n">
        <v>-424772.0805032522</v>
      </c>
      <c r="P14" s="79">
        <f>(L14*G14-(H14*M14+I14*J14*N14+K14*O14))/1000</f>
        <v/>
      </c>
      <c r="Q14" s="80" t="n">
        <v>-30.7</v>
      </c>
      <c r="R14" s="19" t="inlineStr">
        <is>
          <t>Dissolved in ionic liquid</t>
        </is>
      </c>
      <c r="S14" s="20" t="inlineStr">
        <is>
          <t>GAS#1; HALITE#1; IONIC_LIQ#2</t>
        </is>
      </c>
    </row>
    <row r="15">
      <c r="A15" s="46" t="inlineStr">
        <is>
          <t>CuZrO3</t>
        </is>
      </c>
      <c r="B15" s="47" t="inlineStr">
        <is>
          <t>Copper zirconate (hyp.)</t>
        </is>
      </c>
      <c r="C15" s="48" t="inlineStr">
        <is>
          <t>ZrO2</t>
        </is>
      </c>
      <c r="D15" s="47" t="inlineStr">
        <is>
          <t>Cu + ZrO2 + 0.5 O2 -&gt; CuZrO3</t>
        </is>
      </c>
      <c r="E15" s="81" t="n">
        <v>-66.3</v>
      </c>
      <c r="F15" s="81" t="n">
        <v>-32.2</v>
      </c>
      <c r="G15" s="82" t="n">
        <v>5</v>
      </c>
      <c r="H15" s="82" t="n">
        <v>1</v>
      </c>
      <c r="I15" s="82" t="n">
        <v>1</v>
      </c>
      <c r="J15" s="82" t="n">
        <v>3</v>
      </c>
      <c r="K15" s="82" t="n">
        <v>0.5</v>
      </c>
      <c r="L15" s="83" t="n">
        <v>-331801.7810053322</v>
      </c>
      <c r="M15" s="83" t="n">
        <v>-110460.5952933756</v>
      </c>
      <c r="N15" s="83" t="n">
        <v>-436797.3102753915</v>
      </c>
      <c r="O15" s="83" t="n">
        <v>-424772.0805032522</v>
      </c>
      <c r="P15" s="84">
        <f>(L15*G15-(H15*M15+I15*J15*N15+K15*O15))/1000</f>
        <v/>
      </c>
      <c r="Q15" s="85" t="n">
        <v>-25.3</v>
      </c>
      <c r="R15" s="47" t="inlineStr">
        <is>
          <t>Dissolved in ionic liquid</t>
        </is>
      </c>
      <c r="S15" s="86" t="inlineStr">
        <is>
          <t>GAS#1; IONIC_LIQ#2; ZRO2_TETR#1</t>
        </is>
      </c>
    </row>
    <row r="16">
      <c r="A16" s="38" t="inlineStr">
        <is>
          <t>CuNiO2</t>
        </is>
      </c>
      <c r="B16" s="39" t="inlineStr">
        <is>
          <t>Copper nickelate</t>
        </is>
      </c>
      <c r="C16" s="40" t="inlineStr">
        <is>
          <t>NiO</t>
        </is>
      </c>
      <c r="D16" s="39" t="inlineStr">
        <is>
          <t>Cu + NiO + 0.5 O2 -&gt; CuNiO2</t>
        </is>
      </c>
      <c r="E16" s="65" t="n">
        <v>-70.59999999999999</v>
      </c>
      <c r="F16" s="65" t="n">
        <v>-35.4</v>
      </c>
      <c r="G16" s="66" t="n">
        <v>4</v>
      </c>
      <c r="H16" s="66" t="n">
        <v>1</v>
      </c>
      <c r="I16" s="66" t="n">
        <v>1</v>
      </c>
      <c r="J16" s="66" t="n">
        <v>2</v>
      </c>
      <c r="K16" s="66" t="n">
        <v>0.5</v>
      </c>
      <c r="L16" s="67" t="n">
        <v>-187971.6778645938</v>
      </c>
      <c r="M16" s="67" t="n">
        <v>-110460.5952933756</v>
      </c>
      <c r="N16" s="67" t="n">
        <v>-200848.0620923697</v>
      </c>
      <c r="O16" s="67" t="n">
        <v>-424772.0805032522</v>
      </c>
      <c r="P16" s="68">
        <f>(L16*G16-(H16*M16+I16*J16*N16+K16*O16))/1000</f>
        <v/>
      </c>
      <c r="Q16" s="69" t="n">
        <v>-27.3</v>
      </c>
      <c r="R16" s="39" t="inlineStr">
        <is>
          <t>Dissolved in ionic liquid</t>
        </is>
      </c>
      <c r="S16" s="70" t="inlineStr">
        <is>
          <t>GAS#1; HALITE#1; IONIC_LIQ#2</t>
        </is>
      </c>
    </row>
    <row r="17">
      <c r="A17" s="46" t="inlineStr">
        <is>
          <t>CuLaO2</t>
        </is>
      </c>
      <c r="B17" s="47" t="inlineStr">
        <is>
          <t>Copper lanthanum oxide</t>
        </is>
      </c>
      <c r="C17" s="48" t="inlineStr">
        <is>
          <t>La2O3</t>
        </is>
      </c>
      <c r="D17" s="47" t="inlineStr">
        <is>
          <t>Cu + 0.5 La2O3 + 0.25 O2 -&gt; CuLaO2</t>
        </is>
      </c>
      <c r="E17" s="81" t="n">
        <v>-50.9</v>
      </c>
      <c r="F17" s="81" t="n">
        <v>-31.1</v>
      </c>
      <c r="G17" s="82" t="n">
        <v>4</v>
      </c>
      <c r="H17" s="82" t="n">
        <v>1</v>
      </c>
      <c r="I17" s="82" t="n">
        <v>0.5</v>
      </c>
      <c r="J17" s="82" t="n">
        <v>5</v>
      </c>
      <c r="K17" s="82" t="n">
        <v>0.25</v>
      </c>
      <c r="L17" s="83" t="n">
        <v>-340569.7762879045</v>
      </c>
      <c r="M17" s="83" t="n">
        <v>-110460.5952933756</v>
      </c>
      <c r="N17" s="83" t="n">
        <v>-447180.6182450477</v>
      </c>
      <c r="O17" s="83" t="n">
        <v>-424772.0805032522</v>
      </c>
      <c r="P17" s="84">
        <f>(L17*G17-(H17*M17+I17*J17*N17+K17*O17))/1000</f>
        <v/>
      </c>
      <c r="Q17" s="85" t="n">
        <v>-27.8</v>
      </c>
      <c r="R17" s="47" t="inlineStr">
        <is>
          <t>DELAFOSSITE#1 (Stable up to 1500K (1227C))</t>
        </is>
      </c>
      <c r="S17" s="86" t="inlineStr">
        <is>
          <t>IONIC_LIQ#1; IONIC_LIQ#2; M2O3A#1</t>
        </is>
      </c>
    </row>
    <row r="18">
      <c r="A18" s="50" t="inlineStr">
        <is>
          <t>CuCeO3</t>
        </is>
      </c>
      <c r="B18" s="51" t="inlineStr">
        <is>
          <t>Copper cerate (hyp.)</t>
        </is>
      </c>
      <c r="C18" s="52" t="inlineStr">
        <is>
          <t>CeO2</t>
        </is>
      </c>
      <c r="D18" s="51" t="inlineStr">
        <is>
          <t>Cu + CeO2 + 0.5 O2 -&gt; CuCeO3</t>
        </is>
      </c>
      <c r="E18" s="99" t="inlineStr">
        <is>
          <t>TBD</t>
        </is>
      </c>
      <c r="F18" s="99" t="inlineStr">
        <is>
          <t>TBD</t>
        </is>
      </c>
      <c r="G18" s="88" t="n">
        <v>5</v>
      </c>
      <c r="H18" s="88" t="n">
        <v>1</v>
      </c>
      <c r="I18" s="88" t="n">
        <v>1</v>
      </c>
      <c r="J18" s="88" t="n">
        <v>3</v>
      </c>
      <c r="K18" s="88" t="n">
        <v>0.5</v>
      </c>
      <c r="L18" s="99" t="inlineStr">
        <is>
          <t>TBD</t>
        </is>
      </c>
      <c r="M18" s="99" t="inlineStr">
        <is>
          <t>TBD</t>
        </is>
      </c>
      <c r="N18" s="99" t="inlineStr">
        <is>
          <t>TBD</t>
        </is>
      </c>
      <c r="O18" s="99" t="inlineStr">
        <is>
          <t>TBD</t>
        </is>
      </c>
      <c r="P18" s="99" t="inlineStr">
        <is>
          <t>TBD</t>
        </is>
      </c>
      <c r="Q18" s="99" t="inlineStr">
        <is>
          <t>TBD</t>
        </is>
      </c>
      <c r="R18" s="51" t="inlineStr">
        <is>
          <t>Dissolved in ionic liquid</t>
        </is>
      </c>
      <c r="S18" s="92" t="inlineStr">
        <is>
          <t>ERROR: Thermo-Calc calculation error: se.thermocalc.core.CalculationEngineException: The element CE is not in the database, it contains only the following elements: [/-, AL, AR, B, BA, C, CA, CO, CR, CU, F, FE, GD, H, HF, K, LA, LI, MG, MN, MO, N, NA, NB, NI, O, P, S, SI, TI, V, VA, W, Y, YB, ZR]</t>
        </is>
      </c>
    </row>
    <row r="19">
      <c r="A19" s="34" t="inlineStr">
        <is>
          <t>CuB2O4</t>
        </is>
      </c>
      <c r="B19" s="35" t="inlineStr">
        <is>
          <t>Copper borate</t>
        </is>
      </c>
      <c r="C19" s="36" t="inlineStr">
        <is>
          <t>B2O3</t>
        </is>
      </c>
      <c r="D19" s="35" t="inlineStr">
        <is>
          <t>Cu + B2O3 + 0.5 O2 -&gt; CuB2O4</t>
        </is>
      </c>
      <c r="E19" s="59" t="n">
        <v>-79.7</v>
      </c>
      <c r="F19" s="59" t="n">
        <v>-51.3</v>
      </c>
      <c r="G19" s="60" t="n">
        <v>7</v>
      </c>
      <c r="H19" s="60" t="n">
        <v>1</v>
      </c>
      <c r="I19" s="60" t="n">
        <v>1</v>
      </c>
      <c r="J19" s="60" t="n">
        <v>5</v>
      </c>
      <c r="K19" s="60" t="n">
        <v>0.5</v>
      </c>
      <c r="L19" s="61" t="n">
        <v>-278569.2410931564</v>
      </c>
      <c r="M19" s="61" t="n">
        <v>-110460.5952933756</v>
      </c>
      <c r="N19" s="61" t="n">
        <v>-315909.8169720008</v>
      </c>
      <c r="O19" s="61" t="n">
        <v>-424772.0805032522</v>
      </c>
      <c r="P19" s="62">
        <f>(L19*G19-(H19*M19+I19*J19*N19+K19*O19))/1000</f>
        <v/>
      </c>
      <c r="Q19" s="63" t="n">
        <v>-47.7</v>
      </c>
      <c r="R19" s="35" t="inlineStr">
        <is>
          <t>Dissolved in ionic liquid</t>
        </is>
      </c>
      <c r="S19" s="64" t="inlineStr">
        <is>
          <t>GAS#1; IONIC_LIQ#2</t>
        </is>
      </c>
    </row>
    <row r="22">
      <c r="A22" s="14" t="inlineStr">
        <is>
          <t>Notes:</t>
        </is>
      </c>
    </row>
    <row r="23">
      <c r="A23" s="15" t="inlineStr">
        <is>
          <t>FORMULA COLUMN (P) computes dG from raw TC-Python values (L-O) and stoichiometry (G-K):</t>
        </is>
      </c>
    </row>
    <row r="24">
      <c r="A24" s="15" t="inlineStr">
        <is>
          <t xml:space="preserve">  dG_rxn = (GM_product × prod_atoms - (n_Cu × G_Cu + n_oxide × ox_atoms × GM_oxide + n_O₂ × G_O₂)) / 1000</t>
        </is>
      </c>
    </row>
    <row r="25">
      <c r="A25" s="15" t="inlineStr">
        <is>
          <t>CSV COLUMN (Q) shows the same dG pre-computed by the Python extraction script — should match P exactly.</t>
        </is>
      </c>
    </row>
    <row r="26">
      <c r="A26" s="15" t="inlineStr">
        <is>
          <t>If P ≠ Q, the discrepancy is due to the binary oxide reference: P uses the binary CSV (Tab 1 source),</t>
        </is>
      </c>
    </row>
    <row r="27">
      <c r="A27" s="15" t="inlineStr">
        <is>
          <t xml:space="preserve">  while Q uses a binary oxide recalculated inside the ternary system (typically &lt;0.1% difference).</t>
        </is>
      </c>
    </row>
    <row r="28">
      <c r="A28" s="15" t="inlineStr">
        <is>
          <t>Columns L-O are RAW values from TC-Python (TCOX14 database). No arithmetic applied.</t>
        </is>
      </c>
    </row>
    <row r="29">
      <c r="A29" s="15" t="inlineStr">
        <is>
          <t>Negative dG = FAVORABLE (oxide captures copper into ternary compound).</t>
        </is>
      </c>
    </row>
    <row r="30">
      <c r="A30" s="15" t="inlineStr">
        <is>
          <t>Green cells = favorable.  Red = unfavorable.</t>
        </is>
      </c>
    </row>
    <row r="31">
      <c r="A31" s="15" t="inlineStr">
        <is>
          <t>Formula cells in this tab: 17</t>
        </is>
      </c>
    </row>
  </sheetData>
  <conditionalFormatting sqref="P2:P19">
    <cfRule type="cellIs" priority="1" operator="lessThan" dxfId="2">
      <formula>-10</formula>
    </cfRule>
    <cfRule type="cellIs" priority="2" operator="greaterThanOrEqual" dxfId="3">
      <formula>0</formula>
    </cfRule>
  </conditionalFormatting>
  <conditionalFormatting sqref="Q2:Q19">
    <cfRule type="cellIs" priority="3" operator="lessThan" dxfId="2">
      <formula>-10</formula>
    </cfRule>
    <cfRule type="cellIs" priority="4" operator="greaterThanOrEqual" dxfId="3">
      <formula>0</formula>
    </cfRule>
  </conditionalFormatting>
  <conditionalFormatting sqref="E2:E19">
    <cfRule type="cellIs" priority="5" operator="lessThan" dxfId="2">
      <formula>0</formula>
    </cfRule>
    <cfRule type="cellIs" priority="6" operator="greaterThanOrEqual" dxfId="3">
      <formula>0</formula>
    </cfRule>
  </conditionalFormatting>
  <conditionalFormatting sqref="F2:F19">
    <cfRule type="cellIs" priority="7" operator="lessThan" dxfId="2">
      <formula>0</formula>
    </cfRule>
    <cfRule type="cellIs" priority="8" operator="greaterThanOrEqual" dxfId="3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8" customWidth="1" min="3" max="3"/>
    <col width="8" customWidth="1" min="4" max="4"/>
    <col width="8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28" customWidth="1" min="11" max="11"/>
    <col width="22" customWidth="1" min="12" max="12"/>
  </cols>
  <sheetData>
    <row r="1" ht="50" customHeight="1">
      <c r="A1" s="1" t="inlineStr">
        <is>
          <t>Oxide</t>
        </is>
      </c>
      <c r="B1" s="2" t="inlineStr">
        <is>
          <t>Density
(g/cm3)</t>
        </is>
      </c>
      <c r="C1" s="2" t="inlineStr">
        <is>
          <t>Tm (C)</t>
        </is>
      </c>
      <c r="D1" s="2" t="inlineStr">
        <is>
          <t>Floats?</t>
        </is>
      </c>
      <c r="E1" s="2" t="inlineStr">
        <is>
          <t>Solid at
1527C?</t>
        </is>
      </c>
      <c r="F1" s="2" t="inlineStr">
        <is>
          <t>Binary dG_rxn
@ 1527C
(kJ/mol O2)</t>
        </is>
      </c>
      <c r="G1" s="2" t="inlineStr">
        <is>
          <t>Binary
Verdict</t>
        </is>
      </c>
      <c r="H1" s="2" t="inlineStr">
        <is>
          <t>Best Ternary
Product</t>
        </is>
      </c>
      <c r="I1" s="2" t="inlineStr">
        <is>
          <t>Ternary dG_rxn
@ 1527C
(kJ)</t>
        </is>
      </c>
      <c r="J1" s="2" t="inlineStr">
        <is>
          <t>Ternary
Verdict</t>
        </is>
      </c>
      <c r="K1" s="2" t="inlineStr">
        <is>
          <t>Overall
Recommendation</t>
        </is>
      </c>
      <c r="L1" s="3" t="inlineStr">
        <is>
          <t>Toxicity</t>
        </is>
      </c>
    </row>
    <row r="2">
      <c r="A2" s="16" t="inlineStr">
        <is>
          <t>CeO2</t>
        </is>
      </c>
      <c r="B2" s="17" t="n">
        <v>7.22</v>
      </c>
      <c r="C2" s="17" t="n">
        <v>2400</v>
      </c>
      <c r="D2" s="17" t="inlineStr">
        <is>
          <t>No</t>
        </is>
      </c>
      <c r="E2" s="17" t="inlineStr">
        <is>
          <t>Yes</t>
        </is>
      </c>
      <c r="F2" s="18">
        <f>'Binary Screening'!H2</f>
        <v/>
      </c>
      <c r="G2" s="17">
        <f>'Binary Screening'!I2</f>
        <v/>
      </c>
      <c r="H2" s="19" t="inlineStr">
        <is>
          <t>CuCeO3</t>
        </is>
      </c>
      <c r="I2" s="18">
        <f>IFERROR('Ternary Reaction dG'!P18,"TBD")</f>
        <v/>
      </c>
      <c r="J2" s="17">
        <f>IF(NOT(ISNUMBER(I2)),"TBD",IF(I2&lt;-10,"FAVORABLE",IF(I2&lt;0,"Marginal",IF(I2&lt;10,"Borderline","Unfavorable"))))</f>
        <v/>
      </c>
      <c r="K2" s="19">
        <f>IF(NOT(ISNUMBER(I2)),"Awaiting ternary data",IF(I2&lt;-10,"PROMISING - ternary compound forms",IF(I2&lt;0,"Marginal - weak compound formation",IF(A2="CuO","Trivial - further Cu oxidation","Not promising at steelmaking temps"))))</f>
        <v/>
      </c>
      <c r="L2" s="20" t="inlineStr">
        <is>
          <t>Low</t>
        </is>
      </c>
    </row>
    <row r="3">
      <c r="A3" s="21" t="inlineStr">
        <is>
          <t>CaO</t>
        </is>
      </c>
      <c r="B3" s="22" t="n">
        <v>3.34</v>
      </c>
      <c r="C3" s="22" t="n">
        <v>2613</v>
      </c>
      <c r="D3" s="22" t="inlineStr">
        <is>
          <t>Yes</t>
        </is>
      </c>
      <c r="E3" s="22" t="inlineStr">
        <is>
          <t>Yes</t>
        </is>
      </c>
      <c r="F3" s="23">
        <f>'Binary Screening'!H3</f>
        <v/>
      </c>
      <c r="G3" s="22">
        <f>'Binary Screening'!I3</f>
        <v/>
      </c>
      <c r="H3" s="24" t="inlineStr">
        <is>
          <t>CuCaO2</t>
        </is>
      </c>
      <c r="I3" s="23">
        <f>IFERROR('Ternary Reaction dG'!P14,"TBD")</f>
        <v/>
      </c>
      <c r="J3" s="22">
        <f>IF(NOT(ISNUMBER(I3)),"TBD",IF(I3&lt;-10,"FAVORABLE",IF(I3&lt;0,"Marginal",IF(I3&lt;10,"Borderline","Unfavorable"))))</f>
        <v/>
      </c>
      <c r="K3" s="24">
        <f>IF(NOT(ISNUMBER(I3)),"Awaiting ternary data",IF(I3&lt;-10,"PROMISING - ternary compound forms",IF(I3&lt;0,"Marginal - weak compound formation",IF(A3="CuO","Trivial - further Cu oxidation","Not promising at steelmaking temps"))))</f>
        <v/>
      </c>
      <c r="L3" s="25" t="inlineStr">
        <is>
          <t>Low</t>
        </is>
      </c>
    </row>
    <row r="4">
      <c r="A4" s="16" t="inlineStr">
        <is>
          <t>La2O3</t>
        </is>
      </c>
      <c r="B4" s="17" t="n">
        <v>6.51</v>
      </c>
      <c r="C4" s="17" t="n">
        <v>2315</v>
      </c>
      <c r="D4" s="17" t="inlineStr">
        <is>
          <t>Yes</t>
        </is>
      </c>
      <c r="E4" s="17" t="inlineStr">
        <is>
          <t>Yes</t>
        </is>
      </c>
      <c r="F4" s="18">
        <f>'Binary Screening'!H4</f>
        <v/>
      </c>
      <c r="G4" s="17">
        <f>'Binary Screening'!I4</f>
        <v/>
      </c>
      <c r="H4" s="19" t="inlineStr">
        <is>
          <t>CuLaO2</t>
        </is>
      </c>
      <c r="I4" s="18">
        <f>IFERROR('Ternary Reaction dG'!P17,"TBD")</f>
        <v/>
      </c>
      <c r="J4" s="17">
        <f>IF(NOT(ISNUMBER(I4)),"TBD",IF(I4&lt;-10,"FAVORABLE",IF(I4&lt;0,"Marginal",IF(I4&lt;10,"Borderline","Unfavorable"))))</f>
        <v/>
      </c>
      <c r="K4" s="19">
        <f>IF(NOT(ISNUMBER(I4)),"Awaiting ternary data",IF(I4&lt;-10,"PROMISING - ternary compound forms",IF(I4&lt;0,"Marginal - weak compound formation",IF(A4="CuO","Trivial - further Cu oxidation","Not promising at steelmaking temps"))))</f>
        <v/>
      </c>
      <c r="L4" s="20" t="inlineStr">
        <is>
          <t>Low-Moderate</t>
        </is>
      </c>
    </row>
    <row r="5">
      <c r="A5" s="21" t="inlineStr">
        <is>
          <t>MgO</t>
        </is>
      </c>
      <c r="B5" s="22" t="n">
        <v>3.58</v>
      </c>
      <c r="C5" s="22" t="n">
        <v>2852</v>
      </c>
      <c r="D5" s="22" t="inlineStr">
        <is>
          <t>Yes</t>
        </is>
      </c>
      <c r="E5" s="22" t="inlineStr">
        <is>
          <t>Yes</t>
        </is>
      </c>
      <c r="F5" s="23">
        <f>'Binary Screening'!H5</f>
        <v/>
      </c>
      <c r="G5" s="22">
        <f>'Binary Screening'!I5</f>
        <v/>
      </c>
      <c r="H5" s="24" t="inlineStr">
        <is>
          <t>CuMgO2</t>
        </is>
      </c>
      <c r="I5" s="23">
        <f>IFERROR('Ternary Reaction dG'!P13,"TBD")</f>
        <v/>
      </c>
      <c r="J5" s="22">
        <f>IF(NOT(ISNUMBER(I5)),"TBD",IF(I5&lt;-10,"FAVORABLE",IF(I5&lt;0,"Marginal",IF(I5&lt;10,"Borderline","Unfavorable"))))</f>
        <v/>
      </c>
      <c r="K5" s="24">
        <f>IF(NOT(ISNUMBER(I5)),"Awaiting ternary data",IF(I5&lt;-10,"PROMISING - ternary compound forms",IF(I5&lt;0,"Marginal - weak compound formation",IF(A5="CuO","Trivial - further Cu oxidation","Not promising at steelmaking temps"))))</f>
        <v/>
      </c>
      <c r="L5" s="25" t="inlineStr">
        <is>
          <t>Low</t>
        </is>
      </c>
    </row>
    <row r="6">
      <c r="A6" s="16" t="inlineStr">
        <is>
          <t>ZrO2</t>
        </is>
      </c>
      <c r="B6" s="17" t="n">
        <v>5.68</v>
      </c>
      <c r="C6" s="17" t="n">
        <v>2715</v>
      </c>
      <c r="D6" s="17" t="inlineStr">
        <is>
          <t>Yes</t>
        </is>
      </c>
      <c r="E6" s="17" t="inlineStr">
        <is>
          <t>Yes</t>
        </is>
      </c>
      <c r="F6" s="18">
        <f>'Binary Screening'!H6</f>
        <v/>
      </c>
      <c r="G6" s="17">
        <f>'Binary Screening'!I6</f>
        <v/>
      </c>
      <c r="H6" s="19" t="inlineStr">
        <is>
          <t>CuZrO3</t>
        </is>
      </c>
      <c r="I6" s="18">
        <f>IFERROR('Ternary Reaction dG'!P15,"TBD")</f>
        <v/>
      </c>
      <c r="J6" s="17">
        <f>IF(NOT(ISNUMBER(I6)),"TBD",IF(I6&lt;-10,"FAVORABLE",IF(I6&lt;0,"Marginal",IF(I6&lt;10,"Borderline","Unfavorable"))))</f>
        <v/>
      </c>
      <c r="K6" s="19">
        <f>IF(NOT(ISNUMBER(I6)),"Awaiting ternary data",IF(I6&lt;-10,"PROMISING - ternary compound forms",IF(I6&lt;0,"Marginal - weak compound formation",IF(A6="CuO","Trivial - further Cu oxidation","Not promising at steelmaking temps"))))</f>
        <v/>
      </c>
      <c r="L6" s="20" t="inlineStr">
        <is>
          <t>Low</t>
        </is>
      </c>
    </row>
    <row r="7">
      <c r="A7" s="21" t="inlineStr">
        <is>
          <t>Al2O3</t>
        </is>
      </c>
      <c r="B7" s="22" t="n">
        <v>3.95</v>
      </c>
      <c r="C7" s="22" t="n">
        <v>2072</v>
      </c>
      <c r="D7" s="22" t="inlineStr">
        <is>
          <t>Yes</t>
        </is>
      </c>
      <c r="E7" s="22" t="inlineStr">
        <is>
          <t>Yes</t>
        </is>
      </c>
      <c r="F7" s="23">
        <f>'Binary Screening'!H7</f>
        <v/>
      </c>
      <c r="G7" s="22">
        <f>'Binary Screening'!I7</f>
        <v/>
      </c>
      <c r="H7" s="24">
        <f>IFERROR(INDEX('Ternary Reaction dG'!A2:A3,MATCH(MIN('Ternary Reaction dG'!P2:G3),'Ternary Reaction dG'!P2:G3,0)),"N/A")</f>
        <v/>
      </c>
      <c r="I7" s="23">
        <f>IFERROR(MIN('Ternary Reaction dG'!P2:G3),"TBD")</f>
        <v/>
      </c>
      <c r="J7" s="22">
        <f>IF(NOT(ISNUMBER(I7)),"TBD",IF(I7&lt;-10,"FAVORABLE",IF(I7&lt;0,"Marginal",IF(I7&lt;10,"Borderline","Unfavorable"))))</f>
        <v/>
      </c>
      <c r="K7" s="24">
        <f>IF(NOT(ISNUMBER(I7)),"Awaiting ternary data",IF(I7&lt;-10,"PROMISING - ternary compound forms",IF(I7&lt;0,"Marginal - weak compound formation",IF(A7="CuO","Trivial - further Cu oxidation","Not promising at steelmaking temps"))))</f>
        <v/>
      </c>
      <c r="L7" s="25" t="inlineStr">
        <is>
          <t>Low</t>
        </is>
      </c>
    </row>
    <row r="8">
      <c r="A8" s="16" t="inlineStr">
        <is>
          <t>TiO2</t>
        </is>
      </c>
      <c r="B8" s="17" t="n">
        <v>4.23</v>
      </c>
      <c r="C8" s="17" t="n">
        <v>1843</v>
      </c>
      <c r="D8" s="17" t="inlineStr">
        <is>
          <t>Yes</t>
        </is>
      </c>
      <c r="E8" s="17" t="inlineStr">
        <is>
          <t>Yes</t>
        </is>
      </c>
      <c r="F8" s="18">
        <f>'Binary Screening'!H8</f>
        <v/>
      </c>
      <c r="G8" s="17">
        <f>'Binary Screening'!I8</f>
        <v/>
      </c>
      <c r="H8" s="19" t="inlineStr">
        <is>
          <t>CuTiO3</t>
        </is>
      </c>
      <c r="I8" s="18">
        <f>IFERROR('Ternary Reaction dG'!P10,"TBD")</f>
        <v/>
      </c>
      <c r="J8" s="17">
        <f>IF(NOT(ISNUMBER(I8)),"TBD",IF(I8&lt;-10,"FAVORABLE",IF(I8&lt;0,"Marginal",IF(I8&lt;10,"Borderline","Unfavorable"))))</f>
        <v/>
      </c>
      <c r="K8" s="19">
        <f>IF(NOT(ISNUMBER(I8)),"Awaiting ternary data",IF(I8&lt;-10,"PROMISING - ternary compound forms",IF(I8&lt;0,"Marginal - weak compound formation",IF(A8="CuO","Trivial - further Cu oxidation","Not promising at steelmaking temps"))))</f>
        <v/>
      </c>
      <c r="L8" s="20" t="inlineStr">
        <is>
          <t>Low</t>
        </is>
      </c>
    </row>
    <row r="9">
      <c r="A9" s="21" t="inlineStr">
        <is>
          <t>SiO2</t>
        </is>
      </c>
      <c r="B9" s="22" t="n">
        <v>2.65</v>
      </c>
      <c r="C9" s="22" t="n">
        <v>1713</v>
      </c>
      <c r="D9" s="22" t="inlineStr">
        <is>
          <t>Yes</t>
        </is>
      </c>
      <c r="E9" s="22" t="inlineStr">
        <is>
          <t>Yes</t>
        </is>
      </c>
      <c r="F9" s="23">
        <f>'Binary Screening'!H9</f>
        <v/>
      </c>
      <c r="G9" s="22">
        <f>'Binary Screening'!I9</f>
        <v/>
      </c>
      <c r="H9" s="24">
        <f>IFERROR(INDEX('Ternary Reaction dG'!A11:A12,MATCH(MIN('Ternary Reaction dG'!P11:G12),'Ternary Reaction dG'!P11:G12,0)),"N/A")</f>
        <v/>
      </c>
      <c r="I9" s="23">
        <f>IFERROR(MIN('Ternary Reaction dG'!P11:G12),"TBD")</f>
        <v/>
      </c>
      <c r="J9" s="22">
        <f>IF(NOT(ISNUMBER(I9)),"TBD",IF(I9&lt;-10,"FAVORABLE",IF(I9&lt;0,"Marginal",IF(I9&lt;10,"Borderline","Unfavorable"))))</f>
        <v/>
      </c>
      <c r="K9" s="24">
        <f>IF(NOT(ISNUMBER(I9)),"Awaiting ternary data",IF(I9&lt;-10,"PROMISING - ternary compound forms",IF(I9&lt;0,"Marginal - weak compound formation",IF(A9="CuO","Trivial - further Cu oxidation","Not promising at steelmaking temps"))))</f>
        <v/>
      </c>
      <c r="L9" s="25" t="inlineStr">
        <is>
          <t>Low (silicosis)</t>
        </is>
      </c>
    </row>
    <row r="10">
      <c r="A10" s="16" t="inlineStr">
        <is>
          <t>MnO</t>
        </is>
      </c>
      <c r="B10" s="17" t="n">
        <v>5.43</v>
      </c>
      <c r="C10" s="17" t="n">
        <v>1842</v>
      </c>
      <c r="D10" s="17" t="inlineStr">
        <is>
          <t>Yes</t>
        </is>
      </c>
      <c r="E10" s="17" t="inlineStr">
        <is>
          <t>Yes</t>
        </is>
      </c>
      <c r="F10" s="18">
        <f>'Binary Screening'!H10</f>
        <v/>
      </c>
      <c r="G10" s="17">
        <f>'Binary Screening'!I10</f>
        <v/>
      </c>
      <c r="H10" s="19" t="inlineStr">
        <is>
          <t>CuMn2O4</t>
        </is>
      </c>
      <c r="I10" s="18">
        <f>IFERROR('Ternary Reaction dG'!P5,"TBD")</f>
        <v/>
      </c>
      <c r="J10" s="17">
        <f>IF(NOT(ISNUMBER(I10)),"TBD",IF(I10&lt;-10,"FAVORABLE",IF(I10&lt;0,"Marginal",IF(I10&lt;10,"Borderline","Unfavorable"))))</f>
        <v/>
      </c>
      <c r="K10" s="19">
        <f>IF(NOT(ISNUMBER(I10)),"Awaiting ternary data",IF(I10&lt;-10,"PROMISING - ternary compound forms",IF(I10&lt;0,"Marginal - weak compound formation",IF(A10="CuO","Trivial - further Cu oxidation","Not promising at steelmaking temps"))))</f>
        <v/>
      </c>
      <c r="L10" s="20" t="inlineStr">
        <is>
          <t>Low</t>
        </is>
      </c>
    </row>
    <row r="11">
      <c r="A11" s="21" t="inlineStr">
        <is>
          <t>Cr2O3</t>
        </is>
      </c>
      <c r="B11" s="22" t="n">
        <v>5.22</v>
      </c>
      <c r="C11" s="22" t="n">
        <v>2435</v>
      </c>
      <c r="D11" s="22" t="inlineStr">
        <is>
          <t>Yes</t>
        </is>
      </c>
      <c r="E11" s="22" t="inlineStr">
        <is>
          <t>Yes</t>
        </is>
      </c>
      <c r="F11" s="23">
        <f>'Binary Screening'!H11</f>
        <v/>
      </c>
      <c r="G11" s="22">
        <f>'Binary Screening'!I11</f>
        <v/>
      </c>
      <c r="H11" s="24" t="inlineStr">
        <is>
          <t>CuCr2O4</t>
        </is>
      </c>
      <c r="I11" s="23">
        <f>IFERROR('Ternary Reaction dG'!P4,"TBD")</f>
        <v/>
      </c>
      <c r="J11" s="22">
        <f>IF(NOT(ISNUMBER(I11)),"TBD",IF(I11&lt;-10,"FAVORABLE",IF(I11&lt;0,"Marginal",IF(I11&lt;10,"Borderline","Unfavorable"))))</f>
        <v/>
      </c>
      <c r="K11" s="24">
        <f>IF(NOT(ISNUMBER(I11)),"Awaiting ternary data",IF(I11&lt;-10,"PROMISING - ternary compound forms",IF(I11&lt;0,"Marginal - weak compound formation",IF(A11="CuO","Trivial - further Cu oxidation","Not promising at steelmaking temps"))))</f>
        <v/>
      </c>
      <c r="L11" s="25" t="inlineStr">
        <is>
          <t>Moderate (Cr VI)</t>
        </is>
      </c>
    </row>
    <row r="12">
      <c r="A12" s="16" t="inlineStr">
        <is>
          <t>V2O5</t>
        </is>
      </c>
      <c r="B12" s="17" t="n">
        <v>3.36</v>
      </c>
      <c r="C12" s="17" t="n">
        <v>690</v>
      </c>
      <c r="D12" s="17" t="inlineStr">
        <is>
          <t>Yes</t>
        </is>
      </c>
      <c r="E12" s="26" t="inlineStr">
        <is>
          <t>LIQUID</t>
        </is>
      </c>
      <c r="F12" s="18">
        <f>'Binary Screening'!H12</f>
        <v/>
      </c>
      <c r="G12" s="17">
        <f>'Binary Screening'!I12</f>
        <v/>
      </c>
      <c r="H12" s="19">
        <f>IFERROR(INDEX('Ternary Reaction dG'!A8:A9,MATCH(MIN('Ternary Reaction dG'!P8:G9),'Ternary Reaction dG'!P8:G9,0)),"N/A")</f>
        <v/>
      </c>
      <c r="I12" s="18">
        <f>IFERROR(MIN('Ternary Reaction dG'!P8:G9),"TBD")</f>
        <v/>
      </c>
      <c r="J12" s="17">
        <f>IF(NOT(ISNUMBER(I12)),"TBD",IF(I12&lt;-10,"FAVORABLE",IF(I12&lt;0,"Marginal",IF(I12&lt;10,"Borderline","Unfavorable"))))</f>
        <v/>
      </c>
      <c r="K12" s="19">
        <f>IF(NOT(ISNUMBER(I12)),"Awaiting ternary data",IF(I12&lt;-10,"PROMISING - ternary compound forms",IF(I12&lt;0,"Marginal - weak compound formation",IF(A12="CuO","Trivial - further Cu oxidation","Not promising at steelmaking temps"))))</f>
        <v/>
      </c>
      <c r="L12" s="20" t="inlineStr">
        <is>
          <t>HIGH - Carc. 1B</t>
        </is>
      </c>
    </row>
    <row r="13">
      <c r="A13" s="21" t="inlineStr">
        <is>
          <t>FeO</t>
        </is>
      </c>
      <c r="B13" s="22" t="n">
        <v>5.74</v>
      </c>
      <c r="C13" s="22" t="n">
        <v>1377</v>
      </c>
      <c r="D13" s="22" t="inlineStr">
        <is>
          <t>Yes</t>
        </is>
      </c>
      <c r="E13" s="27" t="inlineStr">
        <is>
          <t>LIQUID</t>
        </is>
      </c>
      <c r="F13" s="23">
        <f>'Binary Screening'!H13</f>
        <v/>
      </c>
      <c r="G13" s="22">
        <f>'Binary Screening'!I13</f>
        <v/>
      </c>
      <c r="H13" s="24" t="inlineStr">
        <is>
          <t>CuFe2O4</t>
        </is>
      </c>
      <c r="I13" s="23">
        <f>IFERROR('Ternary Reaction dG'!P6,"TBD")</f>
        <v/>
      </c>
      <c r="J13" s="22">
        <f>IF(NOT(ISNUMBER(I13)),"TBD",IF(I13&lt;-10,"FAVORABLE",IF(I13&lt;0,"Marginal",IF(I13&lt;10,"Borderline","Unfavorable"))))</f>
        <v/>
      </c>
      <c r="K13" s="24">
        <f>IF(NOT(ISNUMBER(I13)),"Awaiting ternary data",IF(I13&lt;-10,"PROMISING - ternary compound forms",IF(I13&lt;0,"Marginal - weak compound formation",IF(A13="CuO","Trivial - further Cu oxidation","Not promising at steelmaking temps"))))</f>
        <v/>
      </c>
      <c r="L13" s="25" t="inlineStr">
        <is>
          <t>Low</t>
        </is>
      </c>
    </row>
    <row r="14">
      <c r="A14" s="16" t="inlineStr">
        <is>
          <t>CoO</t>
        </is>
      </c>
      <c r="B14" s="17" t="n">
        <v>6.44</v>
      </c>
      <c r="C14" s="17" t="n">
        <v>1830</v>
      </c>
      <c r="D14" s="17" t="inlineStr">
        <is>
          <t>Yes</t>
        </is>
      </c>
      <c r="E14" s="17" t="inlineStr">
        <is>
          <t>Yes</t>
        </is>
      </c>
      <c r="F14" s="18">
        <f>'Binary Screening'!H14</f>
        <v/>
      </c>
      <c r="G14" s="17">
        <f>'Binary Screening'!I14</f>
        <v/>
      </c>
      <c r="H14" s="19" t="inlineStr">
        <is>
          <t>CuCo2O4</t>
        </is>
      </c>
      <c r="I14" s="18">
        <f>IFERROR('Ternary Reaction dG'!P7,"TBD")</f>
        <v/>
      </c>
      <c r="J14" s="17">
        <f>IF(NOT(ISNUMBER(I14)),"TBD",IF(I14&lt;-10,"FAVORABLE",IF(I14&lt;0,"Marginal",IF(I14&lt;10,"Borderline","Unfavorable"))))</f>
        <v/>
      </c>
      <c r="K14" s="19">
        <f>IF(NOT(ISNUMBER(I14)),"Awaiting ternary data",IF(I14&lt;-10,"PROMISING - ternary compound forms",IF(I14&lt;0,"Marginal - weak compound formation",IF(A14="CuO","Trivial - further Cu oxidation","Not promising at steelmaking temps"))))</f>
        <v/>
      </c>
      <c r="L14" s="20" t="inlineStr">
        <is>
          <t>HIGH - Carc. 1B</t>
        </is>
      </c>
    </row>
    <row r="15">
      <c r="A15" s="21" t="inlineStr">
        <is>
          <t>NiO</t>
        </is>
      </c>
      <c r="B15" s="22" t="n">
        <v>6.67</v>
      </c>
      <c r="C15" s="22" t="n">
        <v>1955</v>
      </c>
      <c r="D15" s="22" t="inlineStr">
        <is>
          <t>Yes</t>
        </is>
      </c>
      <c r="E15" s="22" t="inlineStr">
        <is>
          <t>Yes</t>
        </is>
      </c>
      <c r="F15" s="23">
        <f>'Binary Screening'!H15</f>
        <v/>
      </c>
      <c r="G15" s="22">
        <f>'Binary Screening'!I15</f>
        <v/>
      </c>
      <c r="H15" s="24" t="inlineStr">
        <is>
          <t>CuNiO2</t>
        </is>
      </c>
      <c r="I15" s="23">
        <f>IFERROR('Ternary Reaction dG'!P16,"TBD")</f>
        <v/>
      </c>
      <c r="J15" s="22">
        <f>IF(NOT(ISNUMBER(I15)),"TBD",IF(I15&lt;-10,"FAVORABLE",IF(I15&lt;0,"Marginal",IF(I15&lt;10,"Borderline","Unfavorable"))))</f>
        <v/>
      </c>
      <c r="K15" s="24">
        <f>IF(NOT(ISNUMBER(I15)),"Awaiting ternary data",IF(I15&lt;-10,"PROMISING - ternary compound forms",IF(I15&lt;0,"Marginal - weak compound formation",IF(A15="CuO","Trivial - further Cu oxidation","Not promising at steelmaking temps"))))</f>
        <v/>
      </c>
      <c r="L15" s="25" t="inlineStr">
        <is>
          <t>HIGH - IARC Grp 1</t>
        </is>
      </c>
    </row>
    <row r="16">
      <c r="A16" s="16" t="inlineStr">
        <is>
          <t>PbO</t>
        </is>
      </c>
      <c r="B16" s="17" t="n">
        <v>9.529999999999999</v>
      </c>
      <c r="C16" s="17" t="n">
        <v>888</v>
      </c>
      <c r="D16" s="17" t="inlineStr">
        <is>
          <t>No</t>
        </is>
      </c>
      <c r="E16" s="26" t="inlineStr">
        <is>
          <t>LIQUID</t>
        </is>
      </c>
      <c r="F16" s="18">
        <f>'Binary Screening'!H16</f>
        <v/>
      </c>
      <c r="G16" s="17">
        <f>'Binary Screening'!I16</f>
        <v/>
      </c>
      <c r="H16" s="19" t="inlineStr">
        <is>
          <t>N/A</t>
        </is>
      </c>
      <c r="I16" s="100" t="inlineStr">
        <is>
          <t>TBD</t>
        </is>
      </c>
      <c r="J16" s="17" t="inlineStr">
        <is>
          <t>Not modeled</t>
        </is>
      </c>
      <c r="K16" s="19" t="inlineStr">
        <is>
          <t>Awaiting ternary data</t>
        </is>
      </c>
      <c r="L16" s="20" t="inlineStr">
        <is>
          <t>HIGH - neurotoxin</t>
        </is>
      </c>
    </row>
    <row r="17">
      <c r="A17" s="21" t="inlineStr">
        <is>
          <t>B2O3</t>
        </is>
      </c>
      <c r="B17" s="22" t="n">
        <v>2.55</v>
      </c>
      <c r="C17" s="22" t="n">
        <v>450</v>
      </c>
      <c r="D17" s="22" t="inlineStr">
        <is>
          <t>Yes</t>
        </is>
      </c>
      <c r="E17" s="27" t="inlineStr">
        <is>
          <t>LIQUID</t>
        </is>
      </c>
      <c r="F17" s="23">
        <f>'Binary Screening'!H17</f>
        <v/>
      </c>
      <c r="G17" s="22">
        <f>'Binary Screening'!I17</f>
        <v/>
      </c>
      <c r="H17" s="24" t="inlineStr">
        <is>
          <t>CuB2O4</t>
        </is>
      </c>
      <c r="I17" s="23">
        <f>IFERROR('Ternary Reaction dG'!P19,"TBD")</f>
        <v/>
      </c>
      <c r="J17" s="22">
        <f>IF(NOT(ISNUMBER(I17)),"TBD",IF(I17&lt;-10,"FAVORABLE",IF(I17&lt;0,"Marginal",IF(I17&lt;10,"Borderline","Unfavorable"))))</f>
        <v/>
      </c>
      <c r="K17" s="24">
        <f>IF(NOT(ISNUMBER(I17)),"Awaiting ternary data",IF(I17&lt;-10,"PROMISING - ternary compound forms",IF(I17&lt;0,"Marginal - weak compound formation",IF(A17="CuO","Trivial - further Cu oxidation","Not promising at steelmaking temps"))))</f>
        <v/>
      </c>
      <c r="L17" s="25" t="inlineStr">
        <is>
          <t>Moderate - Repr.1B</t>
        </is>
      </c>
    </row>
    <row r="18">
      <c r="A18" s="28" t="inlineStr">
        <is>
          <t>CuO</t>
        </is>
      </c>
      <c r="B18" s="29" t="n">
        <v>6.31</v>
      </c>
      <c r="C18" s="29" t="n">
        <v>1326</v>
      </c>
      <c r="D18" s="29" t="inlineStr">
        <is>
          <t>Yes</t>
        </is>
      </c>
      <c r="E18" s="30" t="inlineStr">
        <is>
          <t>LIQUID</t>
        </is>
      </c>
      <c r="F18" s="31">
        <f>'Binary Screening'!H18</f>
        <v/>
      </c>
      <c r="G18" s="29">
        <f>'Binary Screening'!I18</f>
        <v/>
      </c>
      <c r="H18" s="32" t="inlineStr">
        <is>
          <t>N/A</t>
        </is>
      </c>
      <c r="I18" s="101" t="inlineStr">
        <is>
          <t>TBD</t>
        </is>
      </c>
      <c r="J18" s="29" t="inlineStr">
        <is>
          <t>Not modeled</t>
        </is>
      </c>
      <c r="K18" s="32" t="inlineStr">
        <is>
          <t>Trivial - further Cu oxidation</t>
        </is>
      </c>
      <c r="L18" s="33" t="inlineStr">
        <is>
          <t>Moderate - aquatic</t>
        </is>
      </c>
    </row>
    <row r="20">
      <c r="A20" s="14" t="inlineStr">
        <is>
          <t>Notes:</t>
        </is>
      </c>
    </row>
    <row r="21">
      <c r="A21" s="15" t="inlineStr">
        <is>
          <t>Binary: dG_rxn = dGf(Cu2O) - dGf(MOx). Positive = Cu cannot reduce oxide (all ceramics).</t>
        </is>
      </c>
    </row>
    <row r="22">
      <c r="A22" s="15" t="inlineStr">
        <is>
          <t>Ternary: dG_rxn = G(CuMOy) - [G(Cu) + G(MOx) + G(O2)]. Negative = compound forms.</t>
        </is>
      </c>
    </row>
    <row r="23">
      <c r="A23" s="15" t="inlineStr">
        <is>
          <t>FORMULA CELLS: Col F refs 'Binary Screening', Col I refs 'Ternary Reaction dG'.</t>
        </is>
      </c>
    </row>
    <row r="24">
      <c r="A24" s="15" t="inlineStr">
        <is>
          <t>Cols G, H, J, K are formulas (cross-tab refs or IF() verdicts).</t>
        </is>
      </c>
    </row>
    <row r="25">
      <c r="A25" s="15" t="inlineStr">
        <is>
          <t>Total formula cells in this tab: 82.</t>
        </is>
      </c>
    </row>
    <row r="26">
      <c r="A26" s="15" t="inlineStr">
        <is>
          <t>PROMISING oxides capture Cu into ternary compounds even though Cu cannot reduce them directly.</t>
        </is>
      </c>
    </row>
    <row r="27">
      <c r="A27" s="15" t="inlineStr">
        <is>
          <t>This is the key insight: reduction is impossible, but compound formation may be favorable.</t>
        </is>
      </c>
    </row>
  </sheetData>
  <conditionalFormatting sqref="F2:F18">
    <cfRule type="cellIs" priority="1" operator="greaterThan" dxfId="0">
      <formula>0</formula>
    </cfRule>
    <cfRule type="cellIs" priority="2" operator="lessThanOrEqual" dxfId="1">
      <formula>0</formula>
    </cfRule>
  </conditionalFormatting>
  <conditionalFormatting sqref="I2:I18">
    <cfRule type="cellIs" priority="3" operator="lessThan" dxfId="4">
      <formula>-10</formula>
    </cfRule>
    <cfRule type="cellIs" priority="4" operator="greaterThanOrEqual" dxfId="0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35" customWidth="1" min="3" max="3"/>
    <col width="10" customWidth="1" min="4" max="4"/>
  </cols>
  <sheetData>
    <row r="1">
      <c r="A1" s="14" t="inlineStr">
        <is>
          <t>HOW TC-PYTHON VALUES ARE NORMALIZED</t>
        </is>
      </c>
    </row>
    <row r="3">
      <c r="A3" s="102" t="inlineStr">
        <is>
          <t>Thermo-Calc reports GM = Gibbs energy per mole of ATOMS</t>
        </is>
      </c>
    </row>
    <row r="4">
      <c r="A4" s="102" t="inlineStr">
        <is>
          <t>We need: dGf per mole of O2 (for Ellingham comparison)</t>
        </is>
      </c>
    </row>
    <row r="6">
      <c r="A6" s="102" t="inlineStr">
        <is>
          <t>Step 1: GM (J/mol atoms) x atoms_per_formula = G per formula unit</t>
        </is>
      </c>
    </row>
    <row r="7">
      <c r="A7" s="102" t="inlineStr">
        <is>
          <t>Step 2: G per formula / oxide_per_O2 = dGf per mol O2</t>
        </is>
      </c>
    </row>
    <row r="9">
      <c r="A9" s="14" t="inlineStr">
        <is>
          <t>STOICHIOMETRY TABLE</t>
        </is>
      </c>
    </row>
    <row r="10">
      <c r="A10" s="1" t="inlineStr">
        <is>
          <t>Oxide</t>
        </is>
      </c>
      <c r="B10" s="2" t="inlineStr">
        <is>
          <t>Atoms</t>
        </is>
      </c>
      <c r="C10" s="2" t="inlineStr">
        <is>
          <t>Balanced Reaction</t>
        </is>
      </c>
      <c r="D10" s="3" t="inlineStr">
        <is>
          <t>oxide/O2</t>
        </is>
      </c>
    </row>
    <row r="11">
      <c r="A11" s="103" t="inlineStr">
        <is>
          <t>Cu2O</t>
        </is>
      </c>
      <c r="B11" s="17" t="n">
        <v>3</v>
      </c>
      <c r="C11" s="19" t="inlineStr">
        <is>
          <t>4Cu + O2 -&gt; 2Cu2O</t>
        </is>
      </c>
      <c r="D11" s="6" t="n">
        <v>2</v>
      </c>
    </row>
    <row r="12">
      <c r="A12" s="104" t="inlineStr">
        <is>
          <t>Al2O3</t>
        </is>
      </c>
      <c r="B12" s="22" t="n">
        <v>5</v>
      </c>
      <c r="C12" s="24" t="inlineStr">
        <is>
          <t>4/3 Al + O2 -&gt; 2/3 Al2O3</t>
        </is>
      </c>
      <c r="D12" s="8" t="n">
        <v>0.667</v>
      </c>
    </row>
    <row r="13">
      <c r="A13" s="103" t="inlineStr">
        <is>
          <t>MgO</t>
        </is>
      </c>
      <c r="B13" s="17" t="n">
        <v>2</v>
      </c>
      <c r="C13" s="19" t="inlineStr">
        <is>
          <t>2Mg + O2 -&gt; 2MgO</t>
        </is>
      </c>
      <c r="D13" s="6" t="n">
        <v>2</v>
      </c>
    </row>
    <row r="14">
      <c r="A14" s="104" t="inlineStr">
        <is>
          <t>SiO2</t>
        </is>
      </c>
      <c r="B14" s="22" t="n">
        <v>3</v>
      </c>
      <c r="C14" s="24" t="inlineStr">
        <is>
          <t>Si + O2 -&gt; SiO2</t>
        </is>
      </c>
      <c r="D14" s="8" t="n">
        <v>1</v>
      </c>
    </row>
    <row r="15">
      <c r="A15" s="103" t="inlineStr">
        <is>
          <t>TiO2</t>
        </is>
      </c>
      <c r="B15" s="17" t="n">
        <v>3</v>
      </c>
      <c r="C15" s="19" t="inlineStr">
        <is>
          <t>Ti + O2 -&gt; TiO2</t>
        </is>
      </c>
      <c r="D15" s="6" t="n">
        <v>1</v>
      </c>
    </row>
    <row r="16">
      <c r="A16" s="104" t="inlineStr">
        <is>
          <t>FeO</t>
        </is>
      </c>
      <c r="B16" s="22" t="n">
        <v>2</v>
      </c>
      <c r="C16" s="24" t="inlineStr">
        <is>
          <t>2Fe + O2 -&gt; 2FeO</t>
        </is>
      </c>
      <c r="D16" s="8" t="n">
        <v>2</v>
      </c>
    </row>
    <row r="17">
      <c r="A17" s="103" t="inlineStr">
        <is>
          <t>CaO</t>
        </is>
      </c>
      <c r="B17" s="17" t="n">
        <v>2</v>
      </c>
      <c r="C17" s="19" t="inlineStr">
        <is>
          <t>2Ca + O2 -&gt; 2CaO</t>
        </is>
      </c>
      <c r="D17" s="6" t="n">
        <v>2</v>
      </c>
    </row>
    <row r="18">
      <c r="A18" s="104" t="inlineStr">
        <is>
          <t>ZrO2</t>
        </is>
      </c>
      <c r="B18" s="22" t="n">
        <v>3</v>
      </c>
      <c r="C18" s="24" t="inlineStr">
        <is>
          <t>Zr + O2 -&gt; ZrO2</t>
        </is>
      </c>
      <c r="D18" s="8" t="n">
        <v>1</v>
      </c>
    </row>
    <row r="19">
      <c r="A19" s="103" t="inlineStr">
        <is>
          <t>Cr2O3</t>
        </is>
      </c>
      <c r="B19" s="17" t="n">
        <v>5</v>
      </c>
      <c r="C19" s="19" t="inlineStr">
        <is>
          <t>4/3 Cr + O2 -&gt; 2/3 Cr2O3</t>
        </is>
      </c>
      <c r="D19" s="6" t="n">
        <v>0.667</v>
      </c>
    </row>
    <row r="20">
      <c r="A20" s="104" t="inlineStr">
        <is>
          <t>MnO</t>
        </is>
      </c>
      <c r="B20" s="22" t="n">
        <v>2</v>
      </c>
      <c r="C20" s="24" t="inlineStr">
        <is>
          <t>2Mn + O2 -&gt; 2MnO</t>
        </is>
      </c>
      <c r="D20" s="8" t="n">
        <v>2</v>
      </c>
    </row>
    <row r="21">
      <c r="A21" s="103" t="inlineStr">
        <is>
          <t>V2O5</t>
        </is>
      </c>
      <c r="B21" s="17" t="n">
        <v>7</v>
      </c>
      <c r="C21" s="19" t="inlineStr">
        <is>
          <t>4/5 V + O2 -&gt; 2/5 V2O5</t>
        </is>
      </c>
      <c r="D21" s="6" t="n">
        <v>0.4</v>
      </c>
    </row>
    <row r="22">
      <c r="A22" s="104" t="inlineStr">
        <is>
          <t>B2O3</t>
        </is>
      </c>
      <c r="B22" s="22" t="n">
        <v>5</v>
      </c>
      <c r="C22" s="24" t="inlineStr">
        <is>
          <t>4/3 B + O2 -&gt; 2/3 B2O3</t>
        </is>
      </c>
      <c r="D22" s="8" t="n">
        <v>0.667</v>
      </c>
    </row>
    <row r="23">
      <c r="A23" s="103" t="inlineStr">
        <is>
          <t>La2O3</t>
        </is>
      </c>
      <c r="B23" s="17" t="n">
        <v>5</v>
      </c>
      <c r="C23" s="19" t="inlineStr">
        <is>
          <t>4/3 La + O2 -&gt; 2/3 La2O3</t>
        </is>
      </c>
      <c r="D23" s="6" t="n">
        <v>0.667</v>
      </c>
    </row>
    <row r="24">
      <c r="A24" s="104" t="inlineStr">
        <is>
          <t>CeO2</t>
        </is>
      </c>
      <c r="B24" s="22" t="n">
        <v>3</v>
      </c>
      <c r="C24" s="24" t="inlineStr">
        <is>
          <t>Ce + O2 -&gt; CeO2</t>
        </is>
      </c>
      <c r="D24" s="8" t="n">
        <v>1</v>
      </c>
    </row>
    <row r="25">
      <c r="A25" s="103" t="inlineStr">
        <is>
          <t>NiO</t>
        </is>
      </c>
      <c r="B25" s="17" t="n">
        <v>2</v>
      </c>
      <c r="C25" s="19" t="inlineStr">
        <is>
          <t>2Ni + O2 -&gt; 2NiO</t>
        </is>
      </c>
      <c r="D25" s="6" t="n">
        <v>2</v>
      </c>
    </row>
    <row r="26">
      <c r="A26" s="104" t="inlineStr">
        <is>
          <t>CoO</t>
        </is>
      </c>
      <c r="B26" s="22" t="n">
        <v>2</v>
      </c>
      <c r="C26" s="24" t="inlineStr">
        <is>
          <t>2Co + O2 -&gt; 2CoO</t>
        </is>
      </c>
      <c r="D26" s="8" t="n">
        <v>2</v>
      </c>
    </row>
    <row r="27">
      <c r="A27" s="105" t="inlineStr">
        <is>
          <t>PbO</t>
        </is>
      </c>
      <c r="B27" s="29" t="n">
        <v>2</v>
      </c>
      <c r="C27" s="32" t="inlineStr">
        <is>
          <t>2Pb + O2 -&gt; 2PbO</t>
        </is>
      </c>
      <c r="D27" s="13" t="n">
        <v>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4" customWidth="1" min="4" max="4"/>
    <col width="10" customWidth="1" min="5" max="5"/>
    <col width="24" customWidth="1" min="6" max="6"/>
  </cols>
  <sheetData>
    <row r="1" ht="30" customHeight="1">
      <c r="A1" s="1" t="inlineStr">
        <is>
          <t>Oxide</t>
        </is>
      </c>
      <c r="B1" s="2" t="inlineStr">
        <is>
          <t>CAS</t>
        </is>
      </c>
      <c r="C1" s="2" t="inlineStr">
        <is>
          <t>Lab $/g</t>
        </is>
      </c>
      <c r="D1" s="2" t="inlineStr">
        <is>
          <t>Industrial $/g</t>
        </is>
      </c>
      <c r="E1" s="2" t="inlineStr">
        <is>
          <t>Sigma #</t>
        </is>
      </c>
      <c r="F1" s="3" t="inlineStr">
        <is>
          <t>Hazard</t>
        </is>
      </c>
    </row>
    <row r="2">
      <c r="A2" s="16" t="inlineStr">
        <is>
          <t>CeO2</t>
        </is>
      </c>
      <c r="B2" s="17" t="inlineStr">
        <is>
          <t>1306-38-3</t>
        </is>
      </c>
      <c r="C2" s="106" t="n">
        <v>0.9</v>
      </c>
      <c r="D2" s="107" t="n">
        <v>0.006</v>
      </c>
      <c r="E2" s="17" t="inlineStr">
        <is>
          <t>211575</t>
        </is>
      </c>
      <c r="F2" s="20" t="inlineStr">
        <is>
          <t>Low</t>
        </is>
      </c>
    </row>
    <row r="3">
      <c r="A3" s="21" t="inlineStr">
        <is>
          <t>CaO</t>
        </is>
      </c>
      <c r="B3" s="22" t="inlineStr">
        <is>
          <t>1305-78-8</t>
        </is>
      </c>
      <c r="C3" s="108" t="n">
        <v>0.16</v>
      </c>
      <c r="D3" s="109" t="n">
        <v>0.0002</v>
      </c>
      <c r="E3" s="22" t="inlineStr">
        <is>
          <t>248568</t>
        </is>
      </c>
      <c r="F3" s="25" t="inlineStr">
        <is>
          <t>Low</t>
        </is>
      </c>
    </row>
    <row r="4">
      <c r="A4" s="16" t="inlineStr">
        <is>
          <t>La2O3</t>
        </is>
      </c>
      <c r="B4" s="17" t="inlineStr">
        <is>
          <t>1312-81-8</t>
        </is>
      </c>
      <c r="C4" s="106" t="n">
        <v>1.25</v>
      </c>
      <c r="D4" s="107" t="n">
        <v>0.01</v>
      </c>
      <c r="E4" s="17" t="inlineStr">
        <is>
          <t>L4000</t>
        </is>
      </c>
      <c r="F4" s="20" t="inlineStr">
        <is>
          <t>Low-Moderate</t>
        </is>
      </c>
    </row>
    <row r="5">
      <c r="A5" s="21" t="inlineStr">
        <is>
          <t>MgO</t>
        </is>
      </c>
      <c r="B5" s="22" t="inlineStr">
        <is>
          <t>1309-48-4</t>
        </is>
      </c>
      <c r="C5" s="108" t="n">
        <v>0.13</v>
      </c>
      <c r="D5" s="109" t="n">
        <v>0.0003</v>
      </c>
      <c r="E5" s="22" t="inlineStr">
        <is>
          <t>529699</t>
        </is>
      </c>
      <c r="F5" s="25" t="inlineStr">
        <is>
          <t>Low</t>
        </is>
      </c>
    </row>
    <row r="6">
      <c r="A6" s="16" t="inlineStr">
        <is>
          <t>ZrO2</t>
        </is>
      </c>
      <c r="B6" s="17" t="inlineStr">
        <is>
          <t>1314-23-4</t>
        </is>
      </c>
      <c r="C6" s="106" t="n">
        <v>0.67</v>
      </c>
      <c r="D6" s="107" t="n">
        <v>0.035</v>
      </c>
      <c r="E6" s="17" t="inlineStr">
        <is>
          <t>230693</t>
        </is>
      </c>
      <c r="F6" s="20" t="inlineStr">
        <is>
          <t>Low</t>
        </is>
      </c>
    </row>
    <row r="7">
      <c r="A7" s="21" t="inlineStr">
        <is>
          <t>Al2O3</t>
        </is>
      </c>
      <c r="B7" s="22" t="inlineStr">
        <is>
          <t>1344-28-1</t>
        </is>
      </c>
      <c r="C7" s="108" t="n">
        <v>0.09</v>
      </c>
      <c r="D7" s="109" t="n">
        <v>0.0005</v>
      </c>
      <c r="E7" s="22" t="inlineStr">
        <is>
          <t>11028</t>
        </is>
      </c>
      <c r="F7" s="25" t="inlineStr">
        <is>
          <t>Low</t>
        </is>
      </c>
    </row>
    <row r="8">
      <c r="A8" s="16" t="inlineStr">
        <is>
          <t>TiO2</t>
        </is>
      </c>
      <c r="B8" s="17" t="inlineStr">
        <is>
          <t>13463-67-7</t>
        </is>
      </c>
      <c r="C8" s="106" t="n">
        <v>0.29</v>
      </c>
      <c r="D8" s="107" t="n">
        <v>0.003</v>
      </c>
      <c r="E8" s="17" t="inlineStr">
        <is>
          <t>14021</t>
        </is>
      </c>
      <c r="F8" s="20" t="inlineStr">
        <is>
          <t>Low</t>
        </is>
      </c>
    </row>
    <row r="9">
      <c r="A9" s="21" t="inlineStr">
        <is>
          <t>SiO2</t>
        </is>
      </c>
      <c r="B9" s="22" t="inlineStr">
        <is>
          <t>7631-86-9</t>
        </is>
      </c>
      <c r="C9" s="108" t="n">
        <v>0.1</v>
      </c>
      <c r="D9" s="109" t="n">
        <v>5e-05</v>
      </c>
      <c r="E9" s="22" t="inlineStr">
        <is>
          <t>637238</t>
        </is>
      </c>
      <c r="F9" s="25" t="inlineStr">
        <is>
          <t>Low (silicosis)</t>
        </is>
      </c>
    </row>
    <row r="10">
      <c r="A10" s="16" t="inlineStr">
        <is>
          <t>MnO</t>
        </is>
      </c>
      <c r="B10" s="17" t="inlineStr">
        <is>
          <t>1344-43-0</t>
        </is>
      </c>
      <c r="C10" s="106" t="n">
        <v>0.55</v>
      </c>
      <c r="D10" s="107" t="n">
        <v>0.005</v>
      </c>
      <c r="E10" s="17" t="inlineStr">
        <is>
          <t>377201</t>
        </is>
      </c>
      <c r="F10" s="20" t="inlineStr">
        <is>
          <t>Low</t>
        </is>
      </c>
    </row>
    <row r="11">
      <c r="A11" s="21" t="inlineStr">
        <is>
          <t>Cr2O3</t>
        </is>
      </c>
      <c r="B11" s="22" t="inlineStr">
        <is>
          <t>1308-38-9</t>
        </is>
      </c>
      <c r="C11" s="108" t="n">
        <v>2.38</v>
      </c>
      <c r="D11" s="109" t="n">
        <v>0.005</v>
      </c>
      <c r="E11" s="22" t="inlineStr">
        <is>
          <t>393703</t>
        </is>
      </c>
      <c r="F11" s="25" t="inlineStr">
        <is>
          <t>Moderate (Cr VI)</t>
        </is>
      </c>
    </row>
    <row r="12">
      <c r="A12" s="16" t="inlineStr">
        <is>
          <t>V2O5</t>
        </is>
      </c>
      <c r="B12" s="17" t="inlineStr">
        <is>
          <t>1314-62-1</t>
        </is>
      </c>
      <c r="C12" s="106" t="n">
        <v>1</v>
      </c>
      <c r="D12" s="107" t="n">
        <v>0.011</v>
      </c>
      <c r="E12" s="17" t="inlineStr">
        <is>
          <t>221899</t>
        </is>
      </c>
      <c r="F12" s="110" t="inlineStr">
        <is>
          <t>HIGH - Carc. 1B</t>
        </is>
      </c>
    </row>
    <row r="13">
      <c r="A13" s="21" t="inlineStr">
        <is>
          <t>FeO</t>
        </is>
      </c>
      <c r="B13" s="22" t="inlineStr">
        <is>
          <t>1345-25-1</t>
        </is>
      </c>
      <c r="C13" s="108" t="n">
        <v>0.75</v>
      </c>
      <c r="D13" s="109" t="n">
        <v>0.0009</v>
      </c>
      <c r="E13" s="22" t="inlineStr">
        <is>
          <t>400866</t>
        </is>
      </c>
      <c r="F13" s="25" t="inlineStr">
        <is>
          <t>Low</t>
        </is>
      </c>
    </row>
    <row r="14">
      <c r="A14" s="16" t="inlineStr">
        <is>
          <t>CoO</t>
        </is>
      </c>
      <c r="B14" s="17" t="inlineStr">
        <is>
          <t>1307-96-6</t>
        </is>
      </c>
      <c r="C14" s="106" t="n">
        <v>1</v>
      </c>
      <c r="D14" s="107" t="n">
        <v>0.018</v>
      </c>
      <c r="E14" s="17" t="inlineStr">
        <is>
          <t>529443</t>
        </is>
      </c>
      <c r="F14" s="110" t="inlineStr">
        <is>
          <t>HIGH - Carc. 1B</t>
        </is>
      </c>
    </row>
    <row r="15">
      <c r="A15" s="21" t="inlineStr">
        <is>
          <t>NiO</t>
        </is>
      </c>
      <c r="B15" s="22" t="inlineStr">
        <is>
          <t>1313-99-1</t>
        </is>
      </c>
      <c r="C15" s="108" t="n">
        <v>0.7</v>
      </c>
      <c r="D15" s="109" t="n">
        <v>0.016</v>
      </c>
      <c r="E15" s="22" t="inlineStr">
        <is>
          <t>203882</t>
        </is>
      </c>
      <c r="F15" s="111" t="inlineStr">
        <is>
          <t>HIGH - IARC Grp 1</t>
        </is>
      </c>
    </row>
    <row r="16">
      <c r="A16" s="16" t="inlineStr">
        <is>
          <t>PbO</t>
        </is>
      </c>
      <c r="B16" s="17" t="inlineStr">
        <is>
          <t>1317-36-8</t>
        </is>
      </c>
      <c r="C16" s="106" t="n">
        <v>0.26</v>
      </c>
      <c r="D16" s="107" t="n">
        <v>0.004</v>
      </c>
      <c r="E16" s="17" t="inlineStr">
        <is>
          <t>211907</t>
        </is>
      </c>
      <c r="F16" s="110" t="inlineStr">
        <is>
          <t>HIGH - neurotoxin</t>
        </is>
      </c>
    </row>
    <row r="17">
      <c r="A17" s="21" t="inlineStr">
        <is>
          <t>Cu2O</t>
        </is>
      </c>
      <c r="B17" s="22" t="inlineStr">
        <is>
          <t>1317-39-1</t>
        </is>
      </c>
      <c r="C17" s="108" t="n">
        <v>0.34</v>
      </c>
      <c r="D17" s="109" t="n">
        <v>0.008</v>
      </c>
      <c r="E17" s="22" t="inlineStr">
        <is>
          <t>208825</t>
        </is>
      </c>
      <c r="F17" s="25" t="inlineStr">
        <is>
          <t>Reference</t>
        </is>
      </c>
    </row>
    <row r="18">
      <c r="A18" s="16" t="inlineStr">
        <is>
          <t>CuO</t>
        </is>
      </c>
      <c r="B18" s="17" t="inlineStr">
        <is>
          <t>1317-38-0</t>
        </is>
      </c>
      <c r="C18" s="106" t="n">
        <v>0.38</v>
      </c>
      <c r="D18" s="107" t="n">
        <v>0.008</v>
      </c>
      <c r="E18" s="17" t="inlineStr">
        <is>
          <t>208841</t>
        </is>
      </c>
      <c r="F18" s="20" t="inlineStr">
        <is>
          <t>Moderate - aquatic</t>
        </is>
      </c>
    </row>
    <row r="19">
      <c r="A19" s="46" t="inlineStr">
        <is>
          <t>B2O3</t>
        </is>
      </c>
      <c r="B19" s="48" t="inlineStr">
        <is>
          <t>1303-86-2</t>
        </is>
      </c>
      <c r="C19" s="112" t="n">
        <v>1.09</v>
      </c>
      <c r="D19" s="113" t="n">
        <v>0.003</v>
      </c>
      <c r="E19" s="48" t="inlineStr">
        <is>
          <t>339075</t>
        </is>
      </c>
      <c r="F19" s="86" t="inlineStr">
        <is>
          <t>Moderate - Repr.1B</t>
        </is>
      </c>
    </row>
    <row r="21">
      <c r="A21" s="14" t="inlineStr">
        <is>
          <t>Notes:</t>
        </is>
      </c>
    </row>
    <row r="22">
      <c r="A22" s="15" t="inlineStr">
        <is>
          <t>Lab prices from Sigma-Aldrich (500g qty). Industrial prices are bulk estimates.</t>
        </is>
      </c>
    </row>
    <row r="23">
      <c r="A23" s="15" t="inlineStr">
        <is>
          <t>CAS numbers for SDS lookup. Sigma catalog numbers for ordering.</t>
        </is>
      </c>
    </row>
    <row r="24">
      <c r="A24" s="15" t="inlineStr">
        <is>
          <t>HIGH hazard oxides require additional safety review before experimental use.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2026-03-14T06:36:02Z</dcterms:created>
  <dcterms:modified xmlns:dcterms="http://purl.org/dc/terms/" xmlns:xsi="http://www.w3.org/2001/XMLSchema-instance" xsi:type="dcterms:W3CDTF">2026-03-14T06:36:02Z</dcterms:modified>
</cp:coreProperties>
</file>