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thonydimascio/School/Spring2026/MSE-4381-Capstone/honda-calphad/screening/"/>
    </mc:Choice>
  </mc:AlternateContent>
  <xr:revisionPtr revIDLastSave="0" documentId="13_ncr:1_{BD74E3C0-F2CC-9E4D-B07D-E84D96D56D6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ormation Energies" sheetId="1" r:id="rId1"/>
    <sheet name="Reaction dG (Arithmetic)" sheetId="2" r:id="rId2"/>
    <sheet name="Normalization Explained" sheetId="3" r:id="rId3"/>
    <sheet name="Complete Screening Table" sheetId="4" r:id="rId4"/>
    <sheet name="Pricing &amp; SDS" sheetId="5" r:id="rId5"/>
    <sheet name="Moonshot Candida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2" l="1"/>
  <c r="E56" i="2" s="1"/>
  <c r="B56" i="2"/>
  <c r="F56" i="2" s="1"/>
  <c r="C55" i="2"/>
  <c r="E55" i="2" s="1"/>
  <c r="B55" i="2"/>
  <c r="F55" i="2" s="1"/>
  <c r="C54" i="2"/>
  <c r="E54" i="2" s="1"/>
  <c r="B54" i="2"/>
  <c r="F54" i="2" s="1"/>
  <c r="C53" i="2"/>
  <c r="E53" i="2" s="1"/>
  <c r="B53" i="2"/>
  <c r="F53" i="2" s="1"/>
  <c r="C52" i="2"/>
  <c r="E52" i="2" s="1"/>
  <c r="B52" i="2"/>
  <c r="F52" i="2" s="1"/>
  <c r="C51" i="2"/>
  <c r="E51" i="2" s="1"/>
  <c r="B51" i="2"/>
  <c r="F51" i="2" s="1"/>
  <c r="C50" i="2"/>
  <c r="E50" i="2" s="1"/>
  <c r="B50" i="2"/>
  <c r="F50" i="2" s="1"/>
  <c r="C49" i="2"/>
  <c r="E49" i="2" s="1"/>
  <c r="B49" i="2"/>
  <c r="F49" i="2" s="1"/>
  <c r="C48" i="2"/>
  <c r="E48" i="2" s="1"/>
  <c r="B48" i="2"/>
  <c r="F48" i="2" s="1"/>
  <c r="C47" i="2"/>
  <c r="E47" i="2" s="1"/>
  <c r="B47" i="2"/>
  <c r="F47" i="2" s="1"/>
  <c r="C46" i="2"/>
  <c r="E46" i="2" s="1"/>
  <c r="B46" i="2"/>
  <c r="F46" i="2" s="1"/>
  <c r="C45" i="2"/>
  <c r="E45" i="2" s="1"/>
  <c r="B45" i="2"/>
  <c r="F45" i="2" s="1"/>
  <c r="C44" i="2"/>
  <c r="E44" i="2" s="1"/>
  <c r="B44" i="2"/>
  <c r="F44" i="2" s="1"/>
  <c r="C43" i="2"/>
  <c r="E43" i="2" s="1"/>
  <c r="B43" i="2"/>
  <c r="F43" i="2" s="1"/>
  <c r="C42" i="2"/>
  <c r="E42" i="2" s="1"/>
  <c r="B42" i="2"/>
  <c r="F42" i="2" s="1"/>
  <c r="C41" i="2"/>
  <c r="E41" i="2" s="1"/>
  <c r="B41" i="2"/>
  <c r="F41" i="2" s="1"/>
  <c r="C37" i="2"/>
  <c r="E37" i="2" s="1"/>
  <c r="B37" i="2"/>
  <c r="F37" i="2" s="1"/>
  <c r="C36" i="2"/>
  <c r="E36" i="2" s="1"/>
  <c r="B36" i="2"/>
  <c r="F36" i="2" s="1"/>
  <c r="C35" i="2"/>
  <c r="E35" i="2" s="1"/>
  <c r="B35" i="2"/>
  <c r="F35" i="2" s="1"/>
  <c r="C34" i="2"/>
  <c r="E34" i="2" s="1"/>
  <c r="B34" i="2"/>
  <c r="F34" i="2" s="1"/>
  <c r="C33" i="2"/>
  <c r="E33" i="2" s="1"/>
  <c r="B33" i="2"/>
  <c r="F33" i="2" s="1"/>
  <c r="C32" i="2"/>
  <c r="E32" i="2" s="1"/>
  <c r="B32" i="2"/>
  <c r="F32" i="2" s="1"/>
  <c r="C31" i="2"/>
  <c r="E31" i="2" s="1"/>
  <c r="B31" i="2"/>
  <c r="F31" i="2" s="1"/>
  <c r="C30" i="2"/>
  <c r="E30" i="2" s="1"/>
  <c r="B30" i="2"/>
  <c r="F30" i="2" s="1"/>
  <c r="C29" i="2"/>
  <c r="E29" i="2" s="1"/>
  <c r="B29" i="2"/>
  <c r="F29" i="2" s="1"/>
  <c r="C28" i="2"/>
  <c r="E28" i="2" s="1"/>
  <c r="B28" i="2"/>
  <c r="F28" i="2" s="1"/>
  <c r="C27" i="2"/>
  <c r="E27" i="2" s="1"/>
  <c r="B27" i="2"/>
  <c r="F27" i="2" s="1"/>
  <c r="C26" i="2"/>
  <c r="E26" i="2" s="1"/>
  <c r="B26" i="2"/>
  <c r="F26" i="2" s="1"/>
  <c r="C25" i="2"/>
  <c r="E25" i="2" s="1"/>
  <c r="B25" i="2"/>
  <c r="F25" i="2" s="1"/>
  <c r="C24" i="2"/>
  <c r="E24" i="2" s="1"/>
  <c r="B24" i="2"/>
  <c r="F24" i="2" s="1"/>
  <c r="C23" i="2"/>
  <c r="E23" i="2" s="1"/>
  <c r="B23" i="2"/>
  <c r="F23" i="2" s="1"/>
  <c r="C22" i="2"/>
  <c r="E22" i="2" s="1"/>
  <c r="B22" i="2"/>
  <c r="F22" i="2" s="1"/>
  <c r="C18" i="2"/>
  <c r="E18" i="2" s="1"/>
  <c r="B18" i="2"/>
  <c r="F18" i="2" s="1"/>
  <c r="C17" i="2"/>
  <c r="E17" i="2" s="1"/>
  <c r="B17" i="2"/>
  <c r="F17" i="2" s="1"/>
  <c r="C16" i="2"/>
  <c r="E16" i="2" s="1"/>
  <c r="B16" i="2"/>
  <c r="F16" i="2" s="1"/>
  <c r="C15" i="2"/>
  <c r="E15" i="2" s="1"/>
  <c r="B15" i="2"/>
  <c r="F15" i="2" s="1"/>
  <c r="C14" i="2"/>
  <c r="E14" i="2" s="1"/>
  <c r="B14" i="2"/>
  <c r="F14" i="2" s="1"/>
  <c r="C13" i="2"/>
  <c r="E13" i="2" s="1"/>
  <c r="B13" i="2"/>
  <c r="F13" i="2" s="1"/>
  <c r="C12" i="2"/>
  <c r="E12" i="2" s="1"/>
  <c r="B12" i="2"/>
  <c r="F12" i="2" s="1"/>
  <c r="C11" i="2"/>
  <c r="E11" i="2" s="1"/>
  <c r="B11" i="2"/>
  <c r="F11" i="2" s="1"/>
  <c r="C10" i="2"/>
  <c r="E10" i="2" s="1"/>
  <c r="B10" i="2"/>
  <c r="F10" i="2" s="1"/>
  <c r="C9" i="2"/>
  <c r="E9" i="2" s="1"/>
  <c r="B9" i="2"/>
  <c r="F9" i="2" s="1"/>
  <c r="C8" i="2"/>
  <c r="E8" i="2" s="1"/>
  <c r="B8" i="2"/>
  <c r="F8" i="2" s="1"/>
  <c r="C7" i="2"/>
  <c r="E7" i="2" s="1"/>
  <c r="B7" i="2"/>
  <c r="F7" i="2" s="1"/>
  <c r="C6" i="2"/>
  <c r="E6" i="2" s="1"/>
  <c r="B6" i="2"/>
  <c r="F6" i="2" s="1"/>
  <c r="C5" i="2"/>
  <c r="E5" i="2" s="1"/>
  <c r="B5" i="2"/>
  <c r="F5" i="2" s="1"/>
  <c r="C4" i="2"/>
  <c r="E4" i="2" s="1"/>
  <c r="B4" i="2"/>
  <c r="F4" i="2" s="1"/>
  <c r="C3" i="2"/>
  <c r="E3" i="2" s="1"/>
  <c r="B3" i="2"/>
  <c r="F3" i="2" s="1"/>
</calcChain>
</file>

<file path=xl/sharedStrings.xml><?xml version="1.0" encoding="utf-8"?>
<sst xmlns="http://schemas.openxmlformats.org/spreadsheetml/2006/main" count="435" uniqueCount="179">
  <si>
    <t>T (K)</t>
  </si>
  <si>
    <t>CeO2</t>
  </si>
  <si>
    <t>CaO</t>
  </si>
  <si>
    <t>La2O3</t>
  </si>
  <si>
    <t>MgO</t>
  </si>
  <si>
    <t>ZrO2</t>
  </si>
  <si>
    <t>Al2O3</t>
  </si>
  <si>
    <t>TiO2</t>
  </si>
  <si>
    <t>SiO2</t>
  </si>
  <si>
    <t>MnO</t>
  </si>
  <si>
    <t>Cr2O3</t>
  </si>
  <si>
    <t>V2O5</t>
  </si>
  <si>
    <t>FeO</t>
  </si>
  <si>
    <t>CoO</t>
  </si>
  <si>
    <t>NiO</t>
  </si>
  <si>
    <t>PbO</t>
  </si>
  <si>
    <t>Cu2O</t>
  </si>
  <si>
    <t>CuO</t>
  </si>
  <si>
    <t>B2O3</t>
  </si>
  <si>
    <t>ΔG_rxn at 727°C (1000 K)</t>
  </si>
  <si>
    <t>Oxide</t>
  </si>
  <si>
    <t>ΔGf(oxide) kJ</t>
  </si>
  <si>
    <t>ΔGf(Cu₂O) kJ</t>
  </si>
  <si>
    <t>ΔG_rxn kJ</t>
  </si>
  <si>
    <t>Verdict</t>
  </si>
  <si>
    <t>=</t>
  </si>
  <si>
    <t>ΔG_rxn at 1227°C (1500 K)</t>
  </si>
  <si>
    <t>ΔG_rxn at 1527°C (1800 K)</t>
  </si>
  <si>
    <t>HOW TC-PYTHON VALUES ARE NORMALIZED</t>
  </si>
  <si>
    <t>Thermo-Calc reports GM = Gibbs energy per mole of ATOMS</t>
  </si>
  <si>
    <t>We need: ΔGf per mole of O₂ (for Ellingham comparison)</t>
  </si>
  <si>
    <t>Step 1: GM (J/mol atoms) × atoms_per_formula = G per formula unit</t>
  </si>
  <si>
    <t>Step 2: G per formula / oxide_per_O₂ = ΔGf per mol O₂</t>
  </si>
  <si>
    <t>STOICHIOMETRY TABLE</t>
  </si>
  <si>
    <t>Atoms</t>
  </si>
  <si>
    <t>Balanced Reaction</t>
  </si>
  <si>
    <t>oxide/O₂</t>
  </si>
  <si>
    <t>Cu₂O</t>
  </si>
  <si>
    <t>4Cu + O₂ → 2Cu₂O</t>
  </si>
  <si>
    <t>Al₂O₃</t>
  </si>
  <si>
    <t>4/3 Al + O₂ → 2/3 Al₂O₃</t>
  </si>
  <si>
    <t>2Mg + O₂ → 2MgO</t>
  </si>
  <si>
    <t>SiO₂</t>
  </si>
  <si>
    <t>Si + O₂ → SiO₂</t>
  </si>
  <si>
    <t>TiO₂</t>
  </si>
  <si>
    <t>Ti + O₂ → TiO₂</t>
  </si>
  <si>
    <t>2Fe + O₂ → 2FeO</t>
  </si>
  <si>
    <t>2Ca + O₂ → 2CaO</t>
  </si>
  <si>
    <t>V₂O₅</t>
  </si>
  <si>
    <t>4/5 V + O₂ → 2/5 V₂O₅</t>
  </si>
  <si>
    <t>B₂O₃</t>
  </si>
  <si>
    <t>4/3 B + O₂ → 2/3 B₂O₃</t>
  </si>
  <si>
    <t>La₂O₃</t>
  </si>
  <si>
    <t>4/3 La + O₂ → 2/3 La₂O₃</t>
  </si>
  <si>
    <t>CeO₂</t>
  </si>
  <si>
    <t>Ce + O₂ → CeO₂</t>
  </si>
  <si>
    <t>Density</t>
  </si>
  <si>
    <t>Tm (°C)</t>
  </si>
  <si>
    <t>Floats?</t>
  </si>
  <si>
    <t>Solid?</t>
  </si>
  <si>
    <t>ΔG 727°C</t>
  </si>
  <si>
    <t>ΔG 1227°C</t>
  </si>
  <si>
    <t>ΔG 1527°C</t>
  </si>
  <si>
    <t>Reducible?</t>
  </si>
  <si>
    <t>$/g</t>
  </si>
  <si>
    <t>Toxicity</t>
  </si>
  <si>
    <t>Source</t>
  </si>
  <si>
    <t>No</t>
  </si>
  <si>
    <t>Yes</t>
  </si>
  <si>
    <t>Low</t>
  </si>
  <si>
    <t>SSUB3</t>
  </si>
  <si>
    <t>TCOX14</t>
  </si>
  <si>
    <t>Low-Moderate</t>
  </si>
  <si>
    <t>Low (silicosis)</t>
  </si>
  <si>
    <t>Moderate (Cr VI)</t>
  </si>
  <si>
    <t>LIQUID</t>
  </si>
  <si>
    <t>HIGH - Carc. 1B</t>
  </si>
  <si>
    <t>HIGH - IARC Grp 1</t>
  </si>
  <si>
    <t>HIGH - neurotoxin</t>
  </si>
  <si>
    <t>Trivially</t>
  </si>
  <si>
    <t>Moderate - aquatic</t>
  </si>
  <si>
    <t>Pending</t>
  </si>
  <si>
    <t>Moderate - Repr.1B</t>
  </si>
  <si>
    <t>TCOX14 (partial)</t>
  </si>
  <si>
    <t>CAS</t>
  </si>
  <si>
    <t>Lab $/g</t>
  </si>
  <si>
    <t>Industrial $/g</t>
  </si>
  <si>
    <t>Sigma #</t>
  </si>
  <si>
    <t>SDS Link</t>
  </si>
  <si>
    <t>Hazard</t>
  </si>
  <si>
    <t>1306-38-3</t>
  </si>
  <si>
    <t>211575</t>
  </si>
  <si>
    <t>https://www.sigmaaldrich.com/US/en/product/aldrich/211575</t>
  </si>
  <si>
    <t>1305-78-8</t>
  </si>
  <si>
    <t>248568</t>
  </si>
  <si>
    <t>https://www.sigmaaldrich.com/US/en/product/aldrich/248568</t>
  </si>
  <si>
    <t>1312-81-8</t>
  </si>
  <si>
    <t>L4000</t>
  </si>
  <si>
    <t>https://www.sigmaaldrich.com/US/en/product/aldrich/L4000</t>
  </si>
  <si>
    <t>1309-48-4</t>
  </si>
  <si>
    <t>529699</t>
  </si>
  <si>
    <t>https://www.sigmaaldrich.com/US/en/product/aldrich/529699</t>
  </si>
  <si>
    <t>1314-23-4</t>
  </si>
  <si>
    <t>230693</t>
  </si>
  <si>
    <t>https://www.sigmaaldrich.com/US/en/product/aldrich/230693</t>
  </si>
  <si>
    <t>1344-28-1</t>
  </si>
  <si>
    <t>11028</t>
  </si>
  <si>
    <t>https://www.sigmaaldrich.com/US/en/product/aldrich/11028</t>
  </si>
  <si>
    <t>13463-67-7</t>
  </si>
  <si>
    <t>14021</t>
  </si>
  <si>
    <t>https://www.sigmaaldrich.com/US/en/product/aldrich/14021</t>
  </si>
  <si>
    <t>7631-86-9</t>
  </si>
  <si>
    <t>637238</t>
  </si>
  <si>
    <t>https://www.sigmaaldrich.com/US/en/product/aldrich/637238</t>
  </si>
  <si>
    <t>1344-43-0</t>
  </si>
  <si>
    <t>377201</t>
  </si>
  <si>
    <t>https://www.sigmaaldrich.com/US/en/product/aldrich/377201</t>
  </si>
  <si>
    <t>1308-38-9</t>
  </si>
  <si>
    <t>393703</t>
  </si>
  <si>
    <t>https://www.sigmaaldrich.com/US/en/product/aldrich/393703</t>
  </si>
  <si>
    <t>1314-62-1</t>
  </si>
  <si>
    <t>221899</t>
  </si>
  <si>
    <t>https://www.sigmaaldrich.com/US/en/product/aldrich/221899</t>
  </si>
  <si>
    <t>1345-25-1</t>
  </si>
  <si>
    <t>400866</t>
  </si>
  <si>
    <t>https://www.sigmaaldrich.com/US/en/product/aldrich/400866</t>
  </si>
  <si>
    <t>1307-96-6</t>
  </si>
  <si>
    <t>529443</t>
  </si>
  <si>
    <t>https://www.sigmaaldrich.com/US/en/product/aldrich/529443</t>
  </si>
  <si>
    <t>1313-99-1</t>
  </si>
  <si>
    <t>203882</t>
  </si>
  <si>
    <t>https://www.sigmaaldrich.com/US/en/product/aldrich/203882</t>
  </si>
  <si>
    <t>1317-36-8</t>
  </si>
  <si>
    <t>211907</t>
  </si>
  <si>
    <t>https://www.sigmaaldrich.com/US/en/product/aldrich/211907</t>
  </si>
  <si>
    <t>1317-39-1</t>
  </si>
  <si>
    <t>208825</t>
  </si>
  <si>
    <t>https://www.sigmaaldrich.com/US/en/product/aldrich/208825</t>
  </si>
  <si>
    <t>Reference</t>
  </si>
  <si>
    <t>1317-38-0</t>
  </si>
  <si>
    <t>208841</t>
  </si>
  <si>
    <t>https://www.sigmaaldrich.com/US/en/product/aldrich/208841</t>
  </si>
  <si>
    <t>1303-86-2</t>
  </si>
  <si>
    <t>339075</t>
  </si>
  <si>
    <t>https://www.sigmaaldrich.com/US/en/product/aldrich/339075</t>
  </si>
  <si>
    <t>Priority</t>
  </si>
  <si>
    <t>ΔG_rxn 1527°C</t>
  </si>
  <si>
    <t>Mechanism</t>
  </si>
  <si>
    <t>Evidence</t>
  </si>
  <si>
    <t>DB Source</t>
  </si>
  <si>
    <t>Status</t>
  </si>
  <si>
    <t>HIGH</t>
  </si>
  <si>
    <t>+259.4 kJ</t>
  </si>
  <si>
    <t>Copper vanadate CuV₂O₆ formation</t>
  </si>
  <si>
    <t>Bureau of Mines: 40-60% Cu removal at 1200-1400°C</t>
  </si>
  <si>
    <t>Complete</t>
  </si>
  <si>
    <t>partial</t>
  </si>
  <si>
    <t>Cu₂O dissolves into borate slag</t>
  </si>
  <si>
    <t>Partition coefficient &gt;10 for Cu₂O in borate melts</t>
  </si>
  <si>
    <t>TCOX14 (7pts)</t>
  </si>
  <si>
    <t>Partial</t>
  </si>
  <si>
    <t>+1240.7 kJ</t>
  </si>
  <si>
    <t>Ce⁴⁺/Ce³⁺ redox shuttling</t>
  </si>
  <si>
    <t>Oxygen carrier in catalysis; low toxicity</t>
  </si>
  <si>
    <t>Complete*</t>
  </si>
  <si>
    <t>MEDIUM</t>
  </si>
  <si>
    <t>+766.3 kJ</t>
  </si>
  <si>
    <t>Cuprate La₂CuO₄ formation</t>
  </si>
  <si>
    <t>Superconductor lit. proves La₂O₃ + Cu → La₂CuO₄</t>
  </si>
  <si>
    <t>LOW</t>
  </si>
  <si>
    <t>+76.0 kJ</t>
  </si>
  <si>
    <t>Reference (co-tramp)</t>
  </si>
  <si>
    <t>Confirms position near Cu₂O on Ellingham</t>
  </si>
  <si>
    <t>+126.6 kJ</t>
  </si>
  <si>
    <t>Reference (co-contaminant)</t>
  </si>
  <si>
    <t>Between FeO and NiO as expected</t>
  </si>
  <si>
    <t>+136.2 kJ</t>
  </si>
  <si>
    <t>Cu CAN reduce PbO at &lt;727°C; not at steelmaking temps</t>
  </si>
  <si>
    <t>* SSUB3 values flagged: PbO 35% off literature, CeO₂ 19% off. Use with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</si>
</sst>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+#,##0.0;\-#,##0.0"/>
    <numFmt numFmtId="166" formatCode="\$#,##0.0000"/>
    <numFmt numFmtId="167" formatCode="\$#,##0.0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rgb="FF999999"/>
      <name val="Calibri"/>
      <family val="2"/>
    </font>
    <font>
      <b/>
      <sz val="12"/>
      <color rgb="FF595959"/>
      <name val="Calibri"/>
      <family val="2"/>
    </font>
    <font>
      <b/>
      <sz val="10"/>
      <color rgb="FF00B050"/>
      <name val="Calibri"/>
      <family val="2"/>
    </font>
    <font>
      <i/>
      <sz val="9"/>
      <color rgb="FF666666"/>
      <name val="Calibri"/>
      <family val="2"/>
    </font>
    <font>
      <b/>
      <sz val="10"/>
      <color rgb="FFFF0000"/>
      <name val="Calibri"/>
      <family val="2"/>
    </font>
    <font>
      <u/>
      <sz val="10"/>
      <color rgb="FF0563C1"/>
      <name val="Calibri"/>
      <family val="2"/>
    </font>
    <font>
      <b/>
      <sz val="10"/>
      <color rgb="FFCC0000"/>
      <name val="Calibri"/>
      <family val="2"/>
    </font>
    <font>
      <b/>
      <sz val="10"/>
      <color rgb="FFEE7733"/>
      <name val="Calibri"/>
      <family val="2"/>
    </font>
    <font>
      <b/>
      <sz val="10"/>
      <color rgb="FF999999"/>
      <name val="Calibri"/>
      <family val="2"/>
    </font>
    <font>
      <i/>
      <sz val="9"/>
      <color rgb="FFCC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E0E0E0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164" fontId="3" fillId="3" borderId="0" xfId="0" applyNumberFormat="1" applyFont="1" applyFill="1"/>
    <xf numFmtId="164" fontId="3" fillId="4" borderId="0" xfId="0" applyNumberFormat="1" applyFont="1" applyFill="1"/>
    <xf numFmtId="0" fontId="4" fillId="3" borderId="0" xfId="0" applyFont="1" applyFill="1"/>
    <xf numFmtId="0" fontId="2" fillId="5" borderId="0" xfId="0" applyFont="1" applyFill="1"/>
    <xf numFmtId="164" fontId="3" fillId="5" borderId="0" xfId="0" applyNumberFormat="1" applyFont="1" applyFill="1"/>
    <xf numFmtId="0" fontId="4" fillId="5" borderId="0" xfId="0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5" fillId="0" borderId="0" xfId="0" applyFont="1"/>
    <xf numFmtId="0" fontId="2" fillId="3" borderId="0" xfId="0" applyFon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65" fontId="0" fillId="5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0" borderId="0" xfId="0" applyFont="1"/>
    <xf numFmtId="0" fontId="1" fillId="2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3" borderId="0" xfId="0" applyFont="1" applyFill="1" applyAlignment="1">
      <alignment vertical="center" wrapText="1"/>
    </xf>
    <xf numFmtId="165" fontId="6" fillId="3" borderId="0" xfId="0" applyNumberFormat="1" applyFont="1" applyFill="1" applyAlignment="1">
      <alignment vertical="center" wrapText="1"/>
    </xf>
    <xf numFmtId="166" fontId="3" fillId="3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65" fontId="6" fillId="5" borderId="0" xfId="0" applyNumberFormat="1" applyFont="1" applyFill="1" applyAlignment="1">
      <alignment vertical="center" wrapText="1"/>
    </xf>
    <xf numFmtId="166" fontId="3" fillId="5" borderId="0" xfId="0" applyNumberFormat="1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5" fontId="6" fillId="6" borderId="0" xfId="0" applyNumberFormat="1" applyFont="1" applyFill="1" applyAlignment="1">
      <alignment vertical="center" wrapText="1"/>
    </xf>
    <xf numFmtId="166" fontId="3" fillId="6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vertical="center" wrapText="1"/>
    </xf>
    <xf numFmtId="165" fontId="8" fillId="5" borderId="0" xfId="0" applyNumberFormat="1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167" fontId="3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167" fontId="3" fillId="5" borderId="0" xfId="0" applyNumberFormat="1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167" fontId="3" fillId="6" borderId="0" xfId="0" applyNumberFormat="1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3" fillId="0" borderId="0" xfId="0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203415</xdr:colOff>
      <xdr:row>32</xdr:row>
      <xdr:rowOff>162302</xdr:rowOff>
    </xdr:from>
    <xdr:to>
      <xdr:col>10</xdr:col>
      <xdr:colOff>432015</xdr:colOff>
      <xdr:row>61</xdr:row>
      <xdr:rowOff>175147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C00DC-92D2-E702-C33D-B08ECFDE8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907" y="6361624"/>
          <a:ext cx="7784023" cy="5630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maaldrich.com/US/en/product/aldrich/637238" TargetMode="External"/><Relationship Id="rId13" Type="http://schemas.openxmlformats.org/officeDocument/2006/relationships/hyperlink" Target="https://www.sigmaaldrich.com/US/en/product/aldrich/529443" TargetMode="External"/><Relationship Id="rId18" Type="http://schemas.openxmlformats.org/officeDocument/2006/relationships/hyperlink" Target="https://www.sigmaaldrich.com/US/en/product/aldrich/339075" TargetMode="External"/><Relationship Id="rId3" Type="http://schemas.openxmlformats.org/officeDocument/2006/relationships/hyperlink" Target="https://www.sigmaaldrich.com/US/en/product/aldrich/L4000" TargetMode="External"/><Relationship Id="rId7" Type="http://schemas.openxmlformats.org/officeDocument/2006/relationships/hyperlink" Target="https://www.sigmaaldrich.com/US/en/product/aldrich/14021" TargetMode="External"/><Relationship Id="rId12" Type="http://schemas.openxmlformats.org/officeDocument/2006/relationships/hyperlink" Target="https://www.sigmaaldrich.com/US/en/product/aldrich/400866" TargetMode="External"/><Relationship Id="rId17" Type="http://schemas.openxmlformats.org/officeDocument/2006/relationships/hyperlink" Target="https://www.sigmaaldrich.com/US/en/product/aldrich/208841" TargetMode="External"/><Relationship Id="rId2" Type="http://schemas.openxmlformats.org/officeDocument/2006/relationships/hyperlink" Target="https://www.sigmaaldrich.com/US/en/product/aldrich/248568" TargetMode="External"/><Relationship Id="rId16" Type="http://schemas.openxmlformats.org/officeDocument/2006/relationships/hyperlink" Target="https://www.sigmaaldrich.com/US/en/product/aldrich/208825" TargetMode="External"/><Relationship Id="rId1" Type="http://schemas.openxmlformats.org/officeDocument/2006/relationships/hyperlink" Target="https://www.sigmaaldrich.com/US/en/product/aldrich/211575" TargetMode="External"/><Relationship Id="rId6" Type="http://schemas.openxmlformats.org/officeDocument/2006/relationships/hyperlink" Target="https://www.sigmaaldrich.com/US/en/product/aldrich/11028" TargetMode="External"/><Relationship Id="rId11" Type="http://schemas.openxmlformats.org/officeDocument/2006/relationships/hyperlink" Target="https://www.sigmaaldrich.com/US/en/product/aldrich/221899" TargetMode="External"/><Relationship Id="rId5" Type="http://schemas.openxmlformats.org/officeDocument/2006/relationships/hyperlink" Target="https://www.sigmaaldrich.com/US/en/product/aldrich/230693" TargetMode="External"/><Relationship Id="rId15" Type="http://schemas.openxmlformats.org/officeDocument/2006/relationships/hyperlink" Target="https://www.sigmaaldrich.com/US/en/product/aldrich/211907" TargetMode="External"/><Relationship Id="rId10" Type="http://schemas.openxmlformats.org/officeDocument/2006/relationships/hyperlink" Target="https://www.sigmaaldrich.com/US/en/product/aldrich/393703" TargetMode="External"/><Relationship Id="rId4" Type="http://schemas.openxmlformats.org/officeDocument/2006/relationships/hyperlink" Target="https://www.sigmaaldrich.com/US/en/product/aldrich/529699" TargetMode="External"/><Relationship Id="rId9" Type="http://schemas.openxmlformats.org/officeDocument/2006/relationships/hyperlink" Target="https://www.sigmaaldrich.com/US/en/product/aldrich/377201" TargetMode="External"/><Relationship Id="rId14" Type="http://schemas.openxmlformats.org/officeDocument/2006/relationships/hyperlink" Target="https://www.sigmaaldrich.com/US/en/product/aldrich/203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A34" zoomScale="150" workbookViewId="0">
      <selection activeCell="A32" sqref="A32"/>
    </sheetView>
  </sheetViews>
  <sheetFormatPr baseColWidth="10" defaultColWidth="8.83203125" defaultRowHeight="15" x14ac:dyDescent="0.2"/>
  <cols>
    <col min="1" max="19" width="1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500</v>
      </c>
      <c r="B2" s="3">
        <v>-1125.2607413000001</v>
      </c>
      <c r="C2" s="3">
        <v>-1164.1411798069751</v>
      </c>
      <c r="D2" s="3">
        <v>-1096.880856489568</v>
      </c>
      <c r="E2" s="3">
        <v>-1094.8688090586261</v>
      </c>
      <c r="F2" s="3">
        <v>-1003.525437670866</v>
      </c>
      <c r="G2" s="3">
        <v>-1012.426164584838</v>
      </c>
      <c r="H2" s="3">
        <v>-849.77421441104309</v>
      </c>
      <c r="I2" s="3">
        <v>-819.37534913542902</v>
      </c>
      <c r="J2" s="3">
        <v>-698.10106195753838</v>
      </c>
      <c r="K2" s="3">
        <v>-662.3491059079463</v>
      </c>
      <c r="L2" s="3">
        <v>-531.89615759421531</v>
      </c>
      <c r="M2" s="3">
        <v>-472.0816102891535</v>
      </c>
      <c r="N2" s="3">
        <v>-396.61449370301091</v>
      </c>
      <c r="O2" s="3">
        <v>-385.77295211936217</v>
      </c>
      <c r="P2" s="3">
        <v>-127.614513</v>
      </c>
      <c r="Q2" s="4">
        <v>-264.41173480703242</v>
      </c>
      <c r="R2" s="3">
        <v>-218.33909868015471</v>
      </c>
      <c r="S2" s="5"/>
    </row>
    <row r="3" spans="1:19" x14ac:dyDescent="0.2">
      <c r="A3" s="6">
        <v>550</v>
      </c>
      <c r="B3" s="7">
        <v>-1130.2784681999999</v>
      </c>
      <c r="C3" s="7">
        <v>-1153.79112907884</v>
      </c>
      <c r="D3" s="7">
        <v>-1087.389015081061</v>
      </c>
      <c r="E3" s="7">
        <v>-1084.1102506857569</v>
      </c>
      <c r="F3" s="7">
        <v>-993.96748469078841</v>
      </c>
      <c r="G3" s="7">
        <v>-1001.9491920205</v>
      </c>
      <c r="H3" s="7">
        <v>-840.666353980547</v>
      </c>
      <c r="I3" s="7">
        <v>-810.28162636747106</v>
      </c>
      <c r="J3" s="7">
        <v>-690.73006627897394</v>
      </c>
      <c r="K3" s="7">
        <v>-653.56917291656521</v>
      </c>
      <c r="L3" s="7">
        <v>-523.20564207310224</v>
      </c>
      <c r="M3" s="7">
        <v>-463.85403487350862</v>
      </c>
      <c r="N3" s="7">
        <v>-389.32904187836772</v>
      </c>
      <c r="O3" s="7">
        <v>-376.81565672354748</v>
      </c>
      <c r="P3" s="7">
        <v>-129.99931520000001</v>
      </c>
      <c r="Q3" s="4">
        <v>-256.89464037843982</v>
      </c>
      <c r="R3" s="7">
        <v>-209.42176873493321</v>
      </c>
      <c r="S3" s="8"/>
    </row>
    <row r="4" spans="1:19" x14ac:dyDescent="0.2">
      <c r="A4" s="2">
        <v>600</v>
      </c>
      <c r="B4" s="3">
        <v>-1135.6250341</v>
      </c>
      <c r="C4" s="3">
        <v>-1143.4855427438531</v>
      </c>
      <c r="D4" s="3">
        <v>-1077.915831062742</v>
      </c>
      <c r="E4" s="3">
        <v>-1073.379627300538</v>
      </c>
      <c r="F4" s="3">
        <v>-984.44886827328651</v>
      </c>
      <c r="G4" s="3">
        <v>-991.49389230766621</v>
      </c>
      <c r="H4" s="3">
        <v>-831.5991181288656</v>
      </c>
      <c r="I4" s="3">
        <v>-801.22185841856162</v>
      </c>
      <c r="J4" s="3">
        <v>-683.38444872535524</v>
      </c>
      <c r="K4" s="3">
        <v>-644.84585995054249</v>
      </c>
      <c r="L4" s="3">
        <v>-514.55702453963249</v>
      </c>
      <c r="M4" s="3">
        <v>-455.7262982755903</v>
      </c>
      <c r="N4" s="3">
        <v>-382.11393233574802</v>
      </c>
      <c r="O4" s="3">
        <v>-367.93193121533437</v>
      </c>
      <c r="P4" s="3">
        <v>-132.50222289999999</v>
      </c>
      <c r="Q4" s="4">
        <v>-249.4123712642884</v>
      </c>
      <c r="R4" s="3">
        <v>-200.5772975969447</v>
      </c>
      <c r="S4" s="3">
        <v>-742.84461249171977</v>
      </c>
    </row>
    <row r="5" spans="1:19" x14ac:dyDescent="0.2">
      <c r="A5" s="6">
        <v>650</v>
      </c>
      <c r="B5" s="7">
        <v>-1141.2772689000001</v>
      </c>
      <c r="C5" s="7">
        <v>-1133.21575808128</v>
      </c>
      <c r="D5" s="7">
        <v>-1068.5009469052461</v>
      </c>
      <c r="E5" s="7">
        <v>-1062.6746596268549</v>
      </c>
      <c r="F5" s="7">
        <v>-974.96687288334965</v>
      </c>
      <c r="G5" s="7">
        <v>-981.06123225920373</v>
      </c>
      <c r="H5" s="7">
        <v>-822.57003200899987</v>
      </c>
      <c r="I5" s="7">
        <v>-792.19662614268441</v>
      </c>
      <c r="J5" s="7">
        <v>-676.05838367514377</v>
      </c>
      <c r="K5" s="7">
        <v>-636.17369986018184</v>
      </c>
      <c r="L5" s="7">
        <v>-505.94846952400798</v>
      </c>
      <c r="M5" s="7">
        <v>-447.69943949981132</v>
      </c>
      <c r="N5" s="7">
        <v>-374.96089079663591</v>
      </c>
      <c r="O5" s="7">
        <v>-359.07276362580529</v>
      </c>
      <c r="P5" s="7">
        <v>-135.11711210000001</v>
      </c>
      <c r="Q5" s="4">
        <v>-241.9653106573964</v>
      </c>
      <c r="R5" s="7">
        <v>-191.80159935650309</v>
      </c>
      <c r="S5" s="8"/>
    </row>
    <row r="6" spans="1:19" x14ac:dyDescent="0.2">
      <c r="A6" s="2">
        <v>700</v>
      </c>
      <c r="B6" s="3">
        <v>-1147.2151008999999</v>
      </c>
      <c r="C6" s="3">
        <v>-1122.9734493611149</v>
      </c>
      <c r="D6" s="3">
        <v>-1059.138471945404</v>
      </c>
      <c r="E6" s="3">
        <v>-1051.9923884735831</v>
      </c>
      <c r="F6" s="3">
        <v>-965.5187126984988</v>
      </c>
      <c r="G6" s="3">
        <v>-970.65077756418486</v>
      </c>
      <c r="H6" s="3">
        <v>-813.57626575989082</v>
      </c>
      <c r="I6" s="3">
        <v>-783.20603177795192</v>
      </c>
      <c r="J6" s="3">
        <v>-668.746787691328</v>
      </c>
      <c r="K6" s="3">
        <v>-627.54745364493556</v>
      </c>
      <c r="L6" s="3">
        <v>-497.37861083294081</v>
      </c>
      <c r="M6" s="3">
        <v>-439.77563424681392</v>
      </c>
      <c r="N6" s="3">
        <v>-367.85636922394201</v>
      </c>
      <c r="O6" s="3">
        <v>-350.25347310665319</v>
      </c>
      <c r="P6" s="3">
        <v>-137.84617560000001</v>
      </c>
      <c r="Q6" s="4">
        <v>-234.55345403760069</v>
      </c>
      <c r="R6" s="3">
        <v>-183.09073443063369</v>
      </c>
      <c r="S6" s="5"/>
    </row>
    <row r="7" spans="1:19" x14ac:dyDescent="0.2">
      <c r="A7" s="6">
        <v>750</v>
      </c>
      <c r="B7" s="7">
        <v>-1153.4210132999999</v>
      </c>
      <c r="C7" s="7">
        <v>-1112.6645566257589</v>
      </c>
      <c r="D7" s="7">
        <v>-1049.8231216417159</v>
      </c>
      <c r="E7" s="7">
        <v>-1041.3295660687561</v>
      </c>
      <c r="F7" s="7">
        <v>-956.10173799857864</v>
      </c>
      <c r="G7" s="7">
        <v>-960.26132485603125</v>
      </c>
      <c r="H7" s="7">
        <v>-804.61493596747289</v>
      </c>
      <c r="I7" s="7">
        <v>-774.25248472740316</v>
      </c>
      <c r="J7" s="7">
        <v>-661.44526625187018</v>
      </c>
      <c r="K7" s="7">
        <v>-618.96223206674142</v>
      </c>
      <c r="L7" s="7">
        <v>-488.84666008370101</v>
      </c>
      <c r="M7" s="7">
        <v>-431.95926924295651</v>
      </c>
      <c r="N7" s="7">
        <v>-360.74470910005221</v>
      </c>
      <c r="O7" s="7">
        <v>-341.48666949224469</v>
      </c>
      <c r="P7" s="7">
        <v>-140.67115369999999</v>
      </c>
      <c r="Q7" s="4">
        <v>-227.17665775607301</v>
      </c>
      <c r="R7" s="7">
        <v>-174.44107567653549</v>
      </c>
      <c r="S7" s="7">
        <v>-717.21872487659584</v>
      </c>
    </row>
    <row r="8" spans="1:19" x14ac:dyDescent="0.2">
      <c r="A8" s="2">
        <v>800</v>
      </c>
      <c r="B8" s="3">
        <v>-1159.8796090999999</v>
      </c>
      <c r="C8" s="3">
        <v>-1102.3331459546671</v>
      </c>
      <c r="D8" s="3">
        <v>-1040.550209556174</v>
      </c>
      <c r="E8" s="3">
        <v>-1030.682836058292</v>
      </c>
      <c r="F8" s="3">
        <v>-946.7134960123775</v>
      </c>
      <c r="G8" s="3">
        <v>-949.89089970983468</v>
      </c>
      <c r="H8" s="3">
        <v>-795.68323524563345</v>
      </c>
      <c r="I8" s="3">
        <v>-765.34211893212478</v>
      </c>
      <c r="J8" s="3">
        <v>-654.15001080825857</v>
      </c>
      <c r="K8" s="3">
        <v>-610.41350884747385</v>
      </c>
      <c r="L8" s="3">
        <v>-480.35239004103681</v>
      </c>
      <c r="M8" s="3">
        <v>-424.25859818437061</v>
      </c>
      <c r="N8" s="3">
        <v>-353.67532208399467</v>
      </c>
      <c r="O8" s="3">
        <v>-332.77085288924349</v>
      </c>
      <c r="P8" s="3">
        <v>-143.586873</v>
      </c>
      <c r="Q8" s="4">
        <v>-219.8347384421624</v>
      </c>
      <c r="R8" s="3">
        <v>-165.84933773061391</v>
      </c>
      <c r="S8" s="5"/>
    </row>
    <row r="9" spans="1:19" x14ac:dyDescent="0.2">
      <c r="A9" s="6">
        <v>850</v>
      </c>
      <c r="B9" s="7">
        <v>-1166.5772629000001</v>
      </c>
      <c r="C9" s="7">
        <v>-1092.0121710369599</v>
      </c>
      <c r="D9" s="7">
        <v>-1031.3155741559531</v>
      </c>
      <c r="E9" s="7">
        <v>-1020.048830254762</v>
      </c>
      <c r="F9" s="7">
        <v>-937.35174808603642</v>
      </c>
      <c r="G9" s="7">
        <v>-939.53676012039625</v>
      </c>
      <c r="H9" s="7">
        <v>-786.7784973923026</v>
      </c>
      <c r="I9" s="7">
        <v>-756.48734401103877</v>
      </c>
      <c r="J9" s="7">
        <v>-646.8577094091545</v>
      </c>
      <c r="K9" s="7">
        <v>-601.89710737166831</v>
      </c>
      <c r="L9" s="7">
        <v>-471.89606579988418</v>
      </c>
      <c r="M9" s="7">
        <v>-431.62507907696943</v>
      </c>
      <c r="N9" s="7">
        <v>-346.64269638660579</v>
      </c>
      <c r="O9" s="7">
        <v>-324.10301432880931</v>
      </c>
      <c r="P9" s="7">
        <v>-146.588787</v>
      </c>
      <c r="Q9" s="4">
        <v>-212.52752327433359</v>
      </c>
      <c r="R9" s="7">
        <v>-157.31256920474169</v>
      </c>
      <c r="S9" s="8"/>
    </row>
    <row r="10" spans="1:19" x14ac:dyDescent="0.2">
      <c r="A10" s="2">
        <v>900</v>
      </c>
      <c r="B10" s="3">
        <v>-1173.501841</v>
      </c>
      <c r="C10" s="3">
        <v>-1081.6933274671901</v>
      </c>
      <c r="D10" s="3">
        <v>-1022.115510871116</v>
      </c>
      <c r="E10" s="3">
        <v>-1009.424221961513</v>
      </c>
      <c r="F10" s="3">
        <v>-928.01446818082161</v>
      </c>
      <c r="G10" s="3">
        <v>-929.19559308028704</v>
      </c>
      <c r="H10" s="3">
        <v>-777.89822850968778</v>
      </c>
      <c r="I10" s="3">
        <v>-747.69800941610117</v>
      </c>
      <c r="J10" s="3">
        <v>-639.56547428151009</v>
      </c>
      <c r="K10" s="3">
        <v>-593.4091776219949</v>
      </c>
      <c r="L10" s="3">
        <v>-463.47832401997329</v>
      </c>
      <c r="M10" s="3">
        <v>-424.64467960664751</v>
      </c>
      <c r="N10" s="3">
        <v>-339.6414795234179</v>
      </c>
      <c r="O10" s="3">
        <v>-315.47969948125473</v>
      </c>
      <c r="P10" s="3">
        <v>-149.67286989999999</v>
      </c>
      <c r="Q10" s="4">
        <v>-205.25487568636891</v>
      </c>
      <c r="R10" s="3">
        <v>-148.8281309198378</v>
      </c>
      <c r="S10" s="5"/>
    </row>
    <row r="11" spans="1:19" x14ac:dyDescent="0.2">
      <c r="A11" s="6">
        <v>950</v>
      </c>
      <c r="B11" s="7">
        <v>-1180.642476</v>
      </c>
      <c r="C11" s="7">
        <v>-1071.368995372135</v>
      </c>
      <c r="D11" s="7">
        <v>-1012.946711086136</v>
      </c>
      <c r="E11" s="7">
        <v>-998.30839734750259</v>
      </c>
      <c r="F11" s="7">
        <v>-918.69983239572309</v>
      </c>
      <c r="G11" s="7">
        <v>-918.61339934084663</v>
      </c>
      <c r="H11" s="7">
        <v>-769.04010764241013</v>
      </c>
      <c r="I11" s="7">
        <v>-738.930171565416</v>
      </c>
      <c r="J11" s="7">
        <v>-632.27078471604887</v>
      </c>
      <c r="K11" s="7">
        <v>-584.94616929478173</v>
      </c>
      <c r="L11" s="7">
        <v>-455.10016261226951</v>
      </c>
      <c r="M11" s="7">
        <v>-417.86599167443171</v>
      </c>
      <c r="N11" s="7">
        <v>-332.66648466882901</v>
      </c>
      <c r="O11" s="7">
        <v>-306.89734529395662</v>
      </c>
      <c r="P11" s="7">
        <v>-152.83553259999999</v>
      </c>
      <c r="Q11" s="4">
        <v>-198.01670608123979</v>
      </c>
      <c r="R11" s="7">
        <v>-140.39366833626431</v>
      </c>
      <c r="S11" s="8"/>
    </row>
    <row r="12" spans="1:19" x14ac:dyDescent="0.2">
      <c r="A12" s="2">
        <v>1000</v>
      </c>
      <c r="B12" s="9">
        <v>-1187.9893827999999</v>
      </c>
      <c r="C12" s="9">
        <v>-1061.0321907772659</v>
      </c>
      <c r="D12" s="9">
        <v>-1003.806208313801</v>
      </c>
      <c r="E12" s="9">
        <v>-986.76559433818056</v>
      </c>
      <c r="F12" s="9">
        <v>-909.4062045265249</v>
      </c>
      <c r="G12" s="9">
        <v>-907.53028368926175</v>
      </c>
      <c r="H12" s="9">
        <v>-760.20191872779219</v>
      </c>
      <c r="I12" s="9">
        <v>-730.18265228414646</v>
      </c>
      <c r="J12" s="9">
        <v>-624.88010802492988</v>
      </c>
      <c r="K12" s="9">
        <v>-576.50624790003087</v>
      </c>
      <c r="L12" s="9">
        <v>-448.03162888277598</v>
      </c>
      <c r="M12" s="9">
        <v>-411.1915962113269</v>
      </c>
      <c r="N12" s="9">
        <v>-325.71260997308849</v>
      </c>
      <c r="O12" s="9">
        <v>-298.35385897370088</v>
      </c>
      <c r="P12" s="9">
        <v>-156.07355569999999</v>
      </c>
      <c r="Q12" s="10">
        <v>-190.81297236031199</v>
      </c>
      <c r="R12" s="9">
        <v>-132.00708185870539</v>
      </c>
      <c r="S12" s="5"/>
    </row>
    <row r="13" spans="1:19" x14ac:dyDescent="0.2">
      <c r="A13" s="6">
        <v>1050</v>
      </c>
      <c r="B13" s="7">
        <v>-1195.5337075</v>
      </c>
      <c r="C13" s="7">
        <v>-1050.6765095608521</v>
      </c>
      <c r="D13" s="7">
        <v>-994.69132806494065</v>
      </c>
      <c r="E13" s="7">
        <v>-975.21819586685342</v>
      </c>
      <c r="F13" s="7">
        <v>-900.13211713965723</v>
      </c>
      <c r="G13" s="7">
        <v>-896.46212211818943</v>
      </c>
      <c r="H13" s="7">
        <v>-751.38159253298693</v>
      </c>
      <c r="I13" s="7">
        <v>-721.45448174380181</v>
      </c>
      <c r="J13" s="7">
        <v>-617.35153301029243</v>
      </c>
      <c r="K13" s="7">
        <v>-568.08356939838643</v>
      </c>
      <c r="L13" s="7">
        <v>-441.10697562290937</v>
      </c>
      <c r="M13" s="7">
        <v>-404.55800287405401</v>
      </c>
      <c r="N13" s="7">
        <v>-318.77475214308981</v>
      </c>
      <c r="O13" s="7">
        <v>-289.84296076443508</v>
      </c>
      <c r="P13" s="7">
        <v>-159.38403589999999</v>
      </c>
      <c r="Q13" s="4">
        <v>-183.64366939822469</v>
      </c>
      <c r="R13" s="7">
        <v>-123.6664933288134</v>
      </c>
      <c r="S13" s="8"/>
    </row>
    <row r="14" spans="1:19" x14ac:dyDescent="0.2">
      <c r="A14" s="2">
        <v>1100</v>
      </c>
      <c r="B14" s="3">
        <v>-1203.2674029</v>
      </c>
      <c r="C14" s="3">
        <v>-1040.296060659382</v>
      </c>
      <c r="D14" s="3">
        <v>-985.59963282743263</v>
      </c>
      <c r="E14" s="3">
        <v>-963.66731895084285</v>
      </c>
      <c r="F14" s="3">
        <v>-890.87624151911791</v>
      </c>
      <c r="G14" s="3">
        <v>-885.40916566983685</v>
      </c>
      <c r="H14" s="3">
        <v>-742.57721108258079</v>
      </c>
      <c r="I14" s="3">
        <v>-712.74484747620556</v>
      </c>
      <c r="J14" s="3">
        <v>-609.82305565046454</v>
      </c>
      <c r="K14" s="3">
        <v>-559.67665728974316</v>
      </c>
      <c r="L14" s="3">
        <v>-434.23743990475458</v>
      </c>
      <c r="M14" s="3">
        <v>-397.93992795646312</v>
      </c>
      <c r="N14" s="3">
        <v>-311.84769777813023</v>
      </c>
      <c r="O14" s="3">
        <v>-281.36285444982349</v>
      </c>
      <c r="P14" s="3">
        <v>-162.76434159999999</v>
      </c>
      <c r="Q14" s="4">
        <v>-176.50880043592861</v>
      </c>
      <c r="R14" s="3">
        <v>-115.37020108702821</v>
      </c>
      <c r="S14" s="5"/>
    </row>
    <row r="15" spans="1:19" x14ac:dyDescent="0.2">
      <c r="A15" s="6">
        <v>1150</v>
      </c>
      <c r="B15" s="7">
        <v>-1211.1831245999999</v>
      </c>
      <c r="C15" s="7">
        <v>-1029.3498440714641</v>
      </c>
      <c r="D15" s="7">
        <v>-976.47579355346977</v>
      </c>
      <c r="E15" s="7">
        <v>-952.11395651840451</v>
      </c>
      <c r="F15" s="7">
        <v>-881.59901499013222</v>
      </c>
      <c r="G15" s="7">
        <v>-874.37159146091278</v>
      </c>
      <c r="H15" s="7">
        <v>-733.78700337406656</v>
      </c>
      <c r="I15" s="7">
        <v>-704.06661724989476</v>
      </c>
      <c r="J15" s="7">
        <v>-602.29349593883489</v>
      </c>
      <c r="K15" s="7">
        <v>-551.28283464115736</v>
      </c>
      <c r="L15" s="7">
        <v>-427.42603583422863</v>
      </c>
      <c r="M15" s="7">
        <v>-391.34079389619899</v>
      </c>
      <c r="N15" s="7">
        <v>-304.9260094766646</v>
      </c>
      <c r="O15" s="7">
        <v>-272.91096405160067</v>
      </c>
      <c r="P15" s="7">
        <v>-166.21207670000001</v>
      </c>
      <c r="Q15" s="4">
        <v>-169.40835929995339</v>
      </c>
      <c r="R15" s="7">
        <v>-107.1166520199184</v>
      </c>
      <c r="S15" s="8"/>
    </row>
    <row r="16" spans="1:19" x14ac:dyDescent="0.2">
      <c r="A16" s="2">
        <v>1200</v>
      </c>
      <c r="B16" s="3">
        <v>-1219.2741444000001</v>
      </c>
      <c r="C16" s="3">
        <v>-1018.185349071934</v>
      </c>
      <c r="D16" s="3">
        <v>-967.17995163393039</v>
      </c>
      <c r="E16" s="3">
        <v>-940.55899787577312</v>
      </c>
      <c r="F16" s="3">
        <v>-872.20568411629688</v>
      </c>
      <c r="G16" s="3">
        <v>-863.34952012882968</v>
      </c>
      <c r="H16" s="3">
        <v>-724.85224157097957</v>
      </c>
      <c r="I16" s="3">
        <v>-695.48865263570656</v>
      </c>
      <c r="J16" s="3">
        <v>-594.76183032881329</v>
      </c>
      <c r="K16" s="3">
        <v>-542.89956029724726</v>
      </c>
      <c r="L16" s="3">
        <v>-420.67725226830152</v>
      </c>
      <c r="M16" s="3">
        <v>-384.74476688717567</v>
      </c>
      <c r="N16" s="3">
        <v>-298.00387005185922</v>
      </c>
      <c r="O16" s="3">
        <v>-264.48496065015479</v>
      </c>
      <c r="P16" s="3">
        <v>-170.14241139999999</v>
      </c>
      <c r="Q16" s="4">
        <v>-162.34230176893351</v>
      </c>
      <c r="R16" s="3">
        <v>-98.904408400731398</v>
      </c>
      <c r="S16" s="5"/>
    </row>
    <row r="17" spans="1:19" x14ac:dyDescent="0.2">
      <c r="A17" s="6">
        <v>1250</v>
      </c>
      <c r="B17" s="7">
        <v>-1227.5342763000001</v>
      </c>
      <c r="C17" s="7">
        <v>-1007.026249047915</v>
      </c>
      <c r="D17" s="7">
        <v>-957.60498083793709</v>
      </c>
      <c r="E17" s="7">
        <v>-929.00324263659013</v>
      </c>
      <c r="F17" s="7">
        <v>-862.84095799138709</v>
      </c>
      <c r="G17" s="7">
        <v>-852.34302662878895</v>
      </c>
      <c r="H17" s="7">
        <v>-715.92039271700571</v>
      </c>
      <c r="I17" s="7">
        <v>-686.92560102806419</v>
      </c>
      <c r="J17" s="7">
        <v>-587.22717247431342</v>
      </c>
      <c r="K17" s="7">
        <v>-534.52440429577211</v>
      </c>
      <c r="L17" s="7">
        <v>-413.9968865610162</v>
      </c>
      <c r="M17" s="7">
        <v>-378.14110366336553</v>
      </c>
      <c r="N17" s="7">
        <v>-291.07486904532033</v>
      </c>
      <c r="O17" s="7">
        <v>-256.08285016453789</v>
      </c>
      <c r="P17" s="7">
        <v>-174.2809737</v>
      </c>
      <c r="Q17" s="4">
        <v>-155.31051052514519</v>
      </c>
      <c r="R17" s="7">
        <v>-90.732113338492752</v>
      </c>
      <c r="S17" s="8"/>
    </row>
    <row r="18" spans="1:19" x14ac:dyDescent="0.2">
      <c r="A18" s="2">
        <v>1300</v>
      </c>
      <c r="B18" s="3">
        <v>-1235.9578145</v>
      </c>
      <c r="C18" s="3">
        <v>-995.87268742310891</v>
      </c>
      <c r="D18" s="3">
        <v>-948.05193899432322</v>
      </c>
      <c r="E18" s="3">
        <v>-917.4474120416528</v>
      </c>
      <c r="F18" s="3">
        <v>-853.50376059017503</v>
      </c>
      <c r="G18" s="3">
        <v>-841.35214850457021</v>
      </c>
      <c r="H18" s="3">
        <v>-707.0091393763704</v>
      </c>
      <c r="I18" s="3">
        <v>-678.37643923099665</v>
      </c>
      <c r="J18" s="3">
        <v>-579.68875699882562</v>
      </c>
      <c r="K18" s="3">
        <v>-526.15502812369732</v>
      </c>
      <c r="L18" s="3">
        <v>-407.39177344049602</v>
      </c>
      <c r="M18" s="3">
        <v>-371.57165430545882</v>
      </c>
      <c r="N18" s="3">
        <v>-284.13170679715648</v>
      </c>
      <c r="O18" s="3">
        <v>-247.70295997138899</v>
      </c>
      <c r="P18" s="3">
        <v>-178.48455329999999</v>
      </c>
      <c r="Q18" s="4">
        <v>-148.31318122966491</v>
      </c>
      <c r="R18" s="3">
        <v>-82.598669511584106</v>
      </c>
      <c r="S18" s="5"/>
    </row>
    <row r="19" spans="1:19" x14ac:dyDescent="0.2">
      <c r="A19" s="6">
        <v>1350</v>
      </c>
      <c r="B19" s="7">
        <v>-1244.5394801</v>
      </c>
      <c r="C19" s="7">
        <v>-984.72479147875754</v>
      </c>
      <c r="D19" s="7">
        <v>-938.52094869100097</v>
      </c>
      <c r="E19" s="7">
        <v>-905.89215814854231</v>
      </c>
      <c r="F19" s="7">
        <v>-844.19306673420272</v>
      </c>
      <c r="G19" s="7">
        <v>-830.37689222056326</v>
      </c>
      <c r="H19" s="7">
        <v>-698.11712151709287</v>
      </c>
      <c r="I19" s="7">
        <v>-669.84029361324542</v>
      </c>
      <c r="J19" s="7">
        <v>-572.1459252847477</v>
      </c>
      <c r="K19" s="7">
        <v>-517.78916851654822</v>
      </c>
      <c r="L19" s="7">
        <v>-400.86941328675022</v>
      </c>
      <c r="M19" s="7">
        <v>-365.03499603459193</v>
      </c>
      <c r="N19" s="7">
        <v>-277.16577754834572</v>
      </c>
      <c r="O19" s="7">
        <v>-239.34391853871779</v>
      </c>
      <c r="P19" s="7">
        <v>-182.75064839999999</v>
      </c>
      <c r="Q19" s="4">
        <v>-141.35124257623991</v>
      </c>
      <c r="R19" s="7">
        <v>-74.503437051235522</v>
      </c>
      <c r="S19" s="8"/>
    </row>
    <row r="20" spans="1:19" x14ac:dyDescent="0.2">
      <c r="A20" s="2">
        <v>1400</v>
      </c>
      <c r="B20" s="3">
        <v>-1253.2743753</v>
      </c>
      <c r="C20" s="3">
        <v>-973.58267392128653</v>
      </c>
      <c r="D20" s="3">
        <v>-929.01212393689048</v>
      </c>
      <c r="E20" s="3">
        <v>-892.07895130961049</v>
      </c>
      <c r="F20" s="3">
        <v>-835.03989623502423</v>
      </c>
      <c r="G20" s="3">
        <v>-819.41723793674225</v>
      </c>
      <c r="H20" s="3">
        <v>-689.24303002429849</v>
      </c>
      <c r="I20" s="3">
        <v>-661.31644288950542</v>
      </c>
      <c r="J20" s="3">
        <v>-564.4704559838641</v>
      </c>
      <c r="K20" s="3">
        <v>-509.42462383962578</v>
      </c>
      <c r="L20" s="3">
        <v>-394.43752044237391</v>
      </c>
      <c r="M20" s="3">
        <v>-358.52988941703222</v>
      </c>
      <c r="N20" s="3">
        <v>-270.16674639729109</v>
      </c>
      <c r="O20" s="3">
        <v>-231.00464049831149</v>
      </c>
      <c r="P20" s="3">
        <v>-187.07694240000001</v>
      </c>
      <c r="Q20" s="4">
        <v>-132.76334593396061</v>
      </c>
      <c r="R20" s="3">
        <v>-68.767871120852533</v>
      </c>
      <c r="S20" s="5"/>
    </row>
    <row r="21" spans="1:19" x14ac:dyDescent="0.2">
      <c r="A21" s="6">
        <v>1450</v>
      </c>
      <c r="B21" s="7">
        <v>-1262.1579439</v>
      </c>
      <c r="C21" s="7">
        <v>-962.44643383325149</v>
      </c>
      <c r="D21" s="7">
        <v>-919.52556699013519</v>
      </c>
      <c r="E21" s="7">
        <v>-871.69701368143149</v>
      </c>
      <c r="F21" s="7">
        <v>-825.9792988744066</v>
      </c>
      <c r="G21" s="7">
        <v>-808.47314295372973</v>
      </c>
      <c r="H21" s="7">
        <v>-680.38562319922335</v>
      </c>
      <c r="I21" s="7">
        <v>-652.8043167078705</v>
      </c>
      <c r="J21" s="7">
        <v>-556.64856470682037</v>
      </c>
      <c r="K21" s="7">
        <v>-501.05924231016542</v>
      </c>
      <c r="L21" s="7">
        <v>-388.10352800516989</v>
      </c>
      <c r="M21" s="7">
        <v>-352.05523819567622</v>
      </c>
      <c r="N21" s="7">
        <v>-263.15481633896422</v>
      </c>
      <c r="O21" s="7">
        <v>-222.68431556876399</v>
      </c>
      <c r="P21" s="7">
        <v>-191.4612845</v>
      </c>
      <c r="Q21" s="4">
        <v>-123.9064215981835</v>
      </c>
      <c r="R21" s="7">
        <v>-65.953562958639466</v>
      </c>
      <c r="S21" s="8"/>
    </row>
    <row r="22" spans="1:19" x14ac:dyDescent="0.2">
      <c r="A22" s="2">
        <v>1500</v>
      </c>
      <c r="B22" s="9">
        <v>-1271.1859373</v>
      </c>
      <c r="C22" s="9">
        <v>-951.31615693866206</v>
      </c>
      <c r="D22" s="9">
        <v>-910.06136560072775</v>
      </c>
      <c r="E22" s="9">
        <v>-851.36385290992871</v>
      </c>
      <c r="F22" s="9">
        <v>-816.94235876128221</v>
      </c>
      <c r="G22" s="9">
        <v>-797.54454595204402</v>
      </c>
      <c r="H22" s="9">
        <v>-671.5437419763158</v>
      </c>
      <c r="I22" s="9">
        <v>-644.30349125778741</v>
      </c>
      <c r="J22" s="9">
        <v>-548.77907828187665</v>
      </c>
      <c r="K22" s="9">
        <v>-492.69091146201072</v>
      </c>
      <c r="L22" s="9">
        <v>-381.87409754465148</v>
      </c>
      <c r="M22" s="9">
        <v>-345.6100594116478</v>
      </c>
      <c r="N22" s="9">
        <v>-256.15619346994151</v>
      </c>
      <c r="O22" s="9">
        <v>-214.38239979621051</v>
      </c>
      <c r="P22" s="9">
        <v>-195.90167210000001</v>
      </c>
      <c r="Q22" s="10">
        <v>-114.8758367473076</v>
      </c>
      <c r="R22" s="9">
        <v>-63.1445508070559</v>
      </c>
      <c r="S22" s="5"/>
    </row>
    <row r="23" spans="1:19" x14ac:dyDescent="0.2">
      <c r="A23" s="6">
        <v>1550</v>
      </c>
      <c r="B23" s="7">
        <v>-1280.3543841000001</v>
      </c>
      <c r="C23" s="7">
        <v>-940.19191506476307</v>
      </c>
      <c r="D23" s="7">
        <v>-900.61959031569586</v>
      </c>
      <c r="E23" s="7">
        <v>-831.07836625248774</v>
      </c>
      <c r="F23" s="7">
        <v>-807.92818109822667</v>
      </c>
      <c r="G23" s="7">
        <v>-786.63135693139748</v>
      </c>
      <c r="H23" s="7">
        <v>-662.71632373722571</v>
      </c>
      <c r="I23" s="7">
        <v>-635.81368266166578</v>
      </c>
      <c r="J23" s="7">
        <v>-540.35720027665798</v>
      </c>
      <c r="K23" s="7">
        <v>-484.31754834406541</v>
      </c>
      <c r="L23" s="7">
        <v>-375.7546927643964</v>
      </c>
      <c r="M23" s="7">
        <v>-339.19346024732982</v>
      </c>
      <c r="N23" s="7">
        <v>-249.17668965717581</v>
      </c>
      <c r="O23" s="7">
        <v>-206.09860767871859</v>
      </c>
      <c r="P23" s="7">
        <v>-200.39623649999999</v>
      </c>
      <c r="Q23" s="4">
        <v>-110.3812205798784</v>
      </c>
      <c r="R23" s="7">
        <v>-60.342218701386543</v>
      </c>
      <c r="S23" s="8"/>
    </row>
    <row r="24" spans="1:19" x14ac:dyDescent="0.2">
      <c r="A24" s="2">
        <v>1600</v>
      </c>
      <c r="B24" s="3">
        <v>-1289.6595643000001</v>
      </c>
      <c r="C24" s="3">
        <v>-929.07376463838557</v>
      </c>
      <c r="D24" s="3">
        <v>-891.20029149738991</v>
      </c>
      <c r="E24" s="3">
        <v>-810.83950513030413</v>
      </c>
      <c r="F24" s="3">
        <v>-798.9358873333457</v>
      </c>
      <c r="G24" s="3">
        <v>-775.73345068642584</v>
      </c>
      <c r="H24" s="3">
        <v>-653.90241437626457</v>
      </c>
      <c r="I24" s="3">
        <v>-627.33473859406956</v>
      </c>
      <c r="J24" s="3">
        <v>-531.59557572939468</v>
      </c>
      <c r="K24" s="3">
        <v>-475.93721751598298</v>
      </c>
      <c r="L24" s="3">
        <v>-369.74925719386113</v>
      </c>
      <c r="M24" s="3">
        <v>-332.80461920216158</v>
      </c>
      <c r="N24" s="3">
        <v>-242.22022825597909</v>
      </c>
      <c r="O24" s="3">
        <v>-197.83290387337459</v>
      </c>
      <c r="P24" s="3">
        <v>-204.94322930000001</v>
      </c>
      <c r="Q24" s="4">
        <v>-105.85503756018871</v>
      </c>
      <c r="R24" s="3">
        <v>-57.547942966194817</v>
      </c>
      <c r="S24" s="5"/>
    </row>
    <row r="25" spans="1:19" x14ac:dyDescent="0.2">
      <c r="A25" s="6">
        <v>1650</v>
      </c>
      <c r="B25" s="7">
        <v>-1299.0979866</v>
      </c>
      <c r="C25" s="7">
        <v>-917.96174401798191</v>
      </c>
      <c r="D25" s="7">
        <v>-881.8034957054283</v>
      </c>
      <c r="E25" s="7">
        <v>-790.64626621278705</v>
      </c>
      <c r="F25" s="7">
        <v>-789.96460820437665</v>
      </c>
      <c r="G25" s="7">
        <v>-764.85066198381548</v>
      </c>
      <c r="H25" s="7">
        <v>-645.1011781239298</v>
      </c>
      <c r="I25" s="7">
        <v>-618.86662834547781</v>
      </c>
      <c r="J25" s="7">
        <v>-522.81336058197962</v>
      </c>
      <c r="K25" s="7">
        <v>-467.54804470636822</v>
      </c>
      <c r="L25" s="7">
        <v>-363.8600298478413</v>
      </c>
      <c r="M25" s="7">
        <v>-314.09724921113929</v>
      </c>
      <c r="N25" s="7">
        <v>-235.2896836711115</v>
      </c>
      <c r="O25" s="7">
        <v>-189.58549334363639</v>
      </c>
      <c r="P25" s="7">
        <v>-209.54101159999999</v>
      </c>
      <c r="Q25" s="4">
        <v>-101.299010629023</v>
      </c>
      <c r="R25" s="7">
        <v>-54.763086925694083</v>
      </c>
      <c r="S25" s="7">
        <v>-589.11538638066588</v>
      </c>
    </row>
    <row r="26" spans="1:19" x14ac:dyDescent="0.2">
      <c r="A26" s="2">
        <v>1700</v>
      </c>
      <c r="B26" s="3">
        <v>-1308.6663673</v>
      </c>
      <c r="C26" s="3">
        <v>-906.85586943451358</v>
      </c>
      <c r="D26" s="3">
        <v>-872.42920109463273</v>
      </c>
      <c r="E26" s="3">
        <v>-770.49767748793306</v>
      </c>
      <c r="F26" s="3">
        <v>-781.0134759733146</v>
      </c>
      <c r="G26" s="3">
        <v>-753.98283631660559</v>
      </c>
      <c r="H26" s="3">
        <v>-636.31190455224623</v>
      </c>
      <c r="I26" s="3">
        <v>-610.02240720179441</v>
      </c>
      <c r="J26" s="3">
        <v>-514.01258394230081</v>
      </c>
      <c r="K26" s="3">
        <v>-459.14806271474419</v>
      </c>
      <c r="L26" s="3">
        <v>-358.08750733573498</v>
      </c>
      <c r="M26" s="3">
        <v>-309.77515383703587</v>
      </c>
      <c r="N26" s="3">
        <v>-228.38730412106821</v>
      </c>
      <c r="O26" s="3">
        <v>-181.35680897920719</v>
      </c>
      <c r="P26" s="3">
        <v>-214.1880439</v>
      </c>
      <c r="Q26" s="4">
        <v>-96.714843309049144</v>
      </c>
      <c r="R26" s="3">
        <v>-51.989006014467279</v>
      </c>
      <c r="S26" s="3">
        <v>-582.25335803427663</v>
      </c>
    </row>
    <row r="27" spans="1:19" x14ac:dyDescent="0.2">
      <c r="A27" s="6">
        <v>1750</v>
      </c>
      <c r="B27" s="7">
        <v>-1318.3616131000001</v>
      </c>
      <c r="C27" s="7">
        <v>-895.75612929733711</v>
      </c>
      <c r="D27" s="7">
        <v>-863.07737148832234</v>
      </c>
      <c r="E27" s="7">
        <v>-750.3928249994035</v>
      </c>
      <c r="F27" s="7">
        <v>-772.08161551526871</v>
      </c>
      <c r="G27" s="7">
        <v>-743.12973716188162</v>
      </c>
      <c r="H27" s="7">
        <v>-627.53401215878421</v>
      </c>
      <c r="I27" s="7">
        <v>-600.09212549365077</v>
      </c>
      <c r="J27" s="7">
        <v>-505.19515866339327</v>
      </c>
      <c r="K27" s="7">
        <v>-450.73530914992472</v>
      </c>
      <c r="L27" s="7">
        <v>-352.4305395324036</v>
      </c>
      <c r="M27" s="7">
        <v>-305.49798025347309</v>
      </c>
      <c r="N27" s="7">
        <v>-221.51493958057941</v>
      </c>
      <c r="O27" s="7">
        <v>-172.7020806393123</v>
      </c>
      <c r="P27" s="7">
        <v>-218.8828772</v>
      </c>
      <c r="Q27" s="4">
        <v>-92.104227937480431</v>
      </c>
      <c r="R27" s="7">
        <v>-49.227068381408976</v>
      </c>
      <c r="S27" s="8"/>
    </row>
    <row r="28" spans="1:19" x14ac:dyDescent="0.2">
      <c r="A28" s="2">
        <v>1800</v>
      </c>
      <c r="B28" s="9">
        <v>-1328.1808049000001</v>
      </c>
      <c r="C28" s="9">
        <v>-878.77799315356162</v>
      </c>
      <c r="D28" s="9">
        <v>-853.74792880114796</v>
      </c>
      <c r="E28" s="9">
        <v>-730.33088132784519</v>
      </c>
      <c r="F28" s="9">
        <v>-763.16813393740983</v>
      </c>
      <c r="G28" s="9">
        <v>-732.29107601531132</v>
      </c>
      <c r="H28" s="9">
        <v>-618.76704794527825</v>
      </c>
      <c r="I28" s="9">
        <v>-590.18933907266637</v>
      </c>
      <c r="J28" s="9">
        <v>-496.36287691945938</v>
      </c>
      <c r="K28" s="9">
        <v>-442.30781541664737</v>
      </c>
      <c r="L28" s="9">
        <v>-346.88652920395992</v>
      </c>
      <c r="M28" s="9">
        <v>-301.27683736462581</v>
      </c>
      <c r="N28" s="9">
        <v>-214.0876130411034</v>
      </c>
      <c r="O28" s="9">
        <v>-163.49178661632661</v>
      </c>
      <c r="P28" s="9">
        <v>-223.6241454</v>
      </c>
      <c r="Q28" s="10">
        <v>-87.468853364792366</v>
      </c>
      <c r="R28" s="9">
        <v>-46.478697526422863</v>
      </c>
      <c r="S28" s="9">
        <v>-568.57302319325413</v>
      </c>
    </row>
    <row r="29" spans="1:19" x14ac:dyDescent="0.2">
      <c r="A29" s="6">
        <v>1850</v>
      </c>
      <c r="B29" s="7">
        <v>-1338.1211834999999</v>
      </c>
      <c r="C29" s="7">
        <v>-859.33993277822628</v>
      </c>
      <c r="D29" s="7">
        <v>-844.44074350970993</v>
      </c>
      <c r="E29" s="7">
        <v>-710.31104393999249</v>
      </c>
      <c r="F29" s="7">
        <v>-754.2721084256325</v>
      </c>
      <c r="G29" s="7">
        <v>-721.46651760047644</v>
      </c>
      <c r="H29" s="7">
        <v>-610.01068246325462</v>
      </c>
      <c r="I29" s="7">
        <v>-580.299693879806</v>
      </c>
      <c r="J29" s="7">
        <v>-487.51740306038261</v>
      </c>
      <c r="K29" s="7">
        <v>-433.86359404521369</v>
      </c>
      <c r="L29" s="7">
        <v>-341.45351642098581</v>
      </c>
      <c r="M29" s="7">
        <v>-296.51665709331991</v>
      </c>
      <c r="N29" s="7">
        <v>-206.36391481574449</v>
      </c>
      <c r="O29" s="7">
        <v>-154.29354846659089</v>
      </c>
      <c r="P29" s="7">
        <v>-228.41055829999999</v>
      </c>
      <c r="Q29" s="4">
        <v>-82.810412316282864</v>
      </c>
      <c r="R29" s="7">
        <v>-43.745445645258883</v>
      </c>
      <c r="S29" s="8"/>
    </row>
    <row r="30" spans="1:19" x14ac:dyDescent="0.2">
      <c r="A30" s="2">
        <v>1900</v>
      </c>
      <c r="B30" s="3">
        <v>-1348.1801366</v>
      </c>
      <c r="C30" s="3">
        <v>-839.94581943317041</v>
      </c>
      <c r="D30" s="3">
        <v>-835.15562290314983</v>
      </c>
      <c r="E30" s="3">
        <v>-690.33249931288299</v>
      </c>
      <c r="F30" s="3">
        <v>-745.39257204811418</v>
      </c>
      <c r="G30" s="3">
        <v>-710.6556713434768</v>
      </c>
      <c r="H30" s="3">
        <v>-601.26469988419137</v>
      </c>
      <c r="I30" s="3">
        <v>-570.42286353887721</v>
      </c>
      <c r="J30" s="3">
        <v>-478.66026372096343</v>
      </c>
      <c r="K30" s="3">
        <v>-425.40062406919151</v>
      </c>
      <c r="L30" s="3">
        <v>-336.134072719914</v>
      </c>
      <c r="M30" s="3">
        <v>-291.63279189611887</v>
      </c>
      <c r="N30" s="3">
        <v>-198.67425461029839</v>
      </c>
      <c r="O30" s="3">
        <v>-145.11038141872999</v>
      </c>
      <c r="P30" s="3">
        <v>-233.24089549999999</v>
      </c>
      <c r="Q30" s="4">
        <v>-78.130608718690468</v>
      </c>
      <c r="R30" s="3">
        <v>-41.029109637944437</v>
      </c>
      <c r="S30" s="3">
        <v>-554.94383096543027</v>
      </c>
    </row>
    <row r="31" spans="1:19" x14ac:dyDescent="0.2">
      <c r="A31" s="6">
        <v>1950</v>
      </c>
      <c r="B31" s="7">
        <v>-1358.3551881000001</v>
      </c>
      <c r="C31" s="7">
        <v>-820.59439162347076</v>
      </c>
      <c r="D31" s="7">
        <v>-825.8922968892399</v>
      </c>
      <c r="E31" s="7">
        <v>-670.39440531971752</v>
      </c>
      <c r="F31" s="7">
        <v>-736.52849728650347</v>
      </c>
      <c r="G31" s="7">
        <v>-699.8580795240747</v>
      </c>
      <c r="H31" s="7">
        <v>-592.46414327512332</v>
      </c>
      <c r="I31" s="7">
        <v>-560.55845983774407</v>
      </c>
      <c r="J31" s="7">
        <v>-469.79283515390449</v>
      </c>
      <c r="K31" s="7">
        <v>-416.91683420284039</v>
      </c>
      <c r="L31" s="7">
        <v>-330.9249115587657</v>
      </c>
      <c r="M31" s="7">
        <v>-286.78146963748918</v>
      </c>
      <c r="N31" s="7">
        <v>-191.02078666516539</v>
      </c>
      <c r="O31" s="7">
        <v>-135.9455215206774</v>
      </c>
      <c r="P31" s="7">
        <v>-238.11400069999999</v>
      </c>
      <c r="Q31" s="4">
        <v>-73.431165426879886</v>
      </c>
      <c r="R31" s="7">
        <v>-38.331906938331201</v>
      </c>
      <c r="S31" s="7">
        <v>-548.14576575879494</v>
      </c>
    </row>
    <row r="32" spans="1:19" x14ac:dyDescent="0.2">
      <c r="A32" s="2">
        <v>2000</v>
      </c>
      <c r="B32" s="3">
        <v>-1368.6439872000001</v>
      </c>
      <c r="C32" s="3">
        <v>-801.28432330770272</v>
      </c>
      <c r="D32" s="3">
        <v>-816.65040118326817</v>
      </c>
      <c r="E32" s="3">
        <v>-650.49588129948188</v>
      </c>
      <c r="F32" s="3">
        <v>-727.67877711561539</v>
      </c>
      <c r="G32" s="3">
        <v>-689.07320199169328</v>
      </c>
      <c r="H32" s="3">
        <v>-583.36711972638716</v>
      </c>
      <c r="I32" s="3">
        <v>-550.31390627836356</v>
      </c>
      <c r="J32" s="3">
        <v>-460.91632776498409</v>
      </c>
      <c r="K32" s="3">
        <v>-408.41008362471013</v>
      </c>
      <c r="L32" s="3">
        <v>-325.8214476288997</v>
      </c>
      <c r="M32" s="3">
        <v>-281.9612363911645</v>
      </c>
      <c r="N32" s="3">
        <v>-183.40566043768479</v>
      </c>
      <c r="O32" s="3">
        <v>-126.80325809032701</v>
      </c>
      <c r="P32" s="3">
        <v>-245.43636609999999</v>
      </c>
      <c r="Q32" s="4">
        <v>-68.713832940364611</v>
      </c>
      <c r="R32" s="3">
        <v>-35.656736886492823</v>
      </c>
      <c r="S32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zoomScale="174" workbookViewId="0">
      <selection activeCell="B41" sqref="B41"/>
    </sheetView>
  </sheetViews>
  <sheetFormatPr baseColWidth="10" defaultColWidth="8.83203125" defaultRowHeight="15" x14ac:dyDescent="0.2"/>
  <cols>
    <col min="1" max="1" width="10" customWidth="1"/>
    <col min="2" max="3" width="16" customWidth="1"/>
    <col min="4" max="4" width="3" customWidth="1"/>
    <col min="5" max="6" width="16" customWidth="1"/>
  </cols>
  <sheetData>
    <row r="1" spans="1:6" ht="16" x14ac:dyDescent="0.2">
      <c r="A1" s="53" t="s">
        <v>19</v>
      </c>
      <c r="B1" s="54"/>
      <c r="C1" s="54"/>
      <c r="D1" s="54"/>
      <c r="E1" s="54"/>
      <c r="F1" s="54"/>
    </row>
    <row r="2" spans="1:6" x14ac:dyDescent="0.2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 t="s">
        <v>24</v>
      </c>
    </row>
    <row r="3" spans="1:6" ht="16" x14ac:dyDescent="0.2">
      <c r="A3" s="12" t="s">
        <v>1</v>
      </c>
      <c r="B3" s="13">
        <f>'Formation Energies'!B12</f>
        <v>-1187.9893827999999</v>
      </c>
      <c r="C3" s="13">
        <f>'Formation Energies'!Q12</f>
        <v>-190.81297236031199</v>
      </c>
      <c r="D3" s="12" t="s">
        <v>25</v>
      </c>
      <c r="E3" s="14">
        <f t="shared" ref="E3:E18" si="0">C3-B3</f>
        <v>997.17641043968797</v>
      </c>
      <c r="F3" s="15" t="str">
        <f t="shared" ref="F3:F18" si="1">IF(ISBLANK(B3),"Pending",IF(E3&gt;0,"CANNOT reduce","CAN reduce"))</f>
        <v>CANNOT reduce</v>
      </c>
    </row>
    <row r="4" spans="1:6" ht="16" x14ac:dyDescent="0.2">
      <c r="A4" s="16" t="s">
        <v>2</v>
      </c>
      <c r="B4" s="17">
        <f>'Formation Energies'!C12</f>
        <v>-1061.0321907772659</v>
      </c>
      <c r="C4" s="17">
        <f>'Formation Energies'!Q12</f>
        <v>-190.81297236031199</v>
      </c>
      <c r="D4" s="16" t="s">
        <v>25</v>
      </c>
      <c r="E4" s="18">
        <f t="shared" si="0"/>
        <v>870.21921841695394</v>
      </c>
      <c r="F4" s="19" t="str">
        <f t="shared" si="1"/>
        <v>CANNOT reduce</v>
      </c>
    </row>
    <row r="5" spans="1:6" ht="16" x14ac:dyDescent="0.2">
      <c r="A5" s="12" t="s">
        <v>3</v>
      </c>
      <c r="B5" s="13">
        <f>'Formation Energies'!D12</f>
        <v>-1003.806208313801</v>
      </c>
      <c r="C5" s="13">
        <f>'Formation Energies'!Q12</f>
        <v>-190.81297236031199</v>
      </c>
      <c r="D5" s="12" t="s">
        <v>25</v>
      </c>
      <c r="E5" s="14">
        <f t="shared" si="0"/>
        <v>812.99323595348903</v>
      </c>
      <c r="F5" s="15" t="str">
        <f t="shared" si="1"/>
        <v>CANNOT reduce</v>
      </c>
    </row>
    <row r="6" spans="1:6" ht="16" x14ac:dyDescent="0.2">
      <c r="A6" s="16" t="s">
        <v>4</v>
      </c>
      <c r="B6" s="17">
        <f>'Formation Energies'!E12</f>
        <v>-986.76559433818056</v>
      </c>
      <c r="C6" s="17">
        <f>'Formation Energies'!Q12</f>
        <v>-190.81297236031199</v>
      </c>
      <c r="D6" s="16" t="s">
        <v>25</v>
      </c>
      <c r="E6" s="18">
        <f t="shared" si="0"/>
        <v>795.9526219778686</v>
      </c>
      <c r="F6" s="19" t="str">
        <f t="shared" si="1"/>
        <v>CANNOT reduce</v>
      </c>
    </row>
    <row r="7" spans="1:6" ht="16" x14ac:dyDescent="0.2">
      <c r="A7" s="12" t="s">
        <v>5</v>
      </c>
      <c r="B7" s="13">
        <f>'Formation Energies'!F12</f>
        <v>-909.4062045265249</v>
      </c>
      <c r="C7" s="13">
        <f>'Formation Energies'!Q12</f>
        <v>-190.81297236031199</v>
      </c>
      <c r="D7" s="12" t="s">
        <v>25</v>
      </c>
      <c r="E7" s="14">
        <f t="shared" si="0"/>
        <v>718.59323216621294</v>
      </c>
      <c r="F7" s="15" t="str">
        <f t="shared" si="1"/>
        <v>CANNOT reduce</v>
      </c>
    </row>
    <row r="8" spans="1:6" ht="16" x14ac:dyDescent="0.2">
      <c r="A8" s="16" t="s">
        <v>6</v>
      </c>
      <c r="B8" s="17">
        <f>'Formation Energies'!G12</f>
        <v>-907.53028368926175</v>
      </c>
      <c r="C8" s="17">
        <f>'Formation Energies'!Q12</f>
        <v>-190.81297236031199</v>
      </c>
      <c r="D8" s="16" t="s">
        <v>25</v>
      </c>
      <c r="E8" s="18">
        <f t="shared" si="0"/>
        <v>716.71731132894979</v>
      </c>
      <c r="F8" s="19" t="str">
        <f t="shared" si="1"/>
        <v>CANNOT reduce</v>
      </c>
    </row>
    <row r="9" spans="1:6" ht="16" x14ac:dyDescent="0.2">
      <c r="A9" s="12" t="s">
        <v>7</v>
      </c>
      <c r="B9" s="13">
        <f>'Formation Energies'!H12</f>
        <v>-760.20191872779219</v>
      </c>
      <c r="C9" s="13">
        <f>'Formation Energies'!Q12</f>
        <v>-190.81297236031199</v>
      </c>
      <c r="D9" s="12" t="s">
        <v>25</v>
      </c>
      <c r="E9" s="14">
        <f t="shared" si="0"/>
        <v>569.38894636748023</v>
      </c>
      <c r="F9" s="15" t="str">
        <f t="shared" si="1"/>
        <v>CANNOT reduce</v>
      </c>
    </row>
    <row r="10" spans="1:6" ht="16" x14ac:dyDescent="0.2">
      <c r="A10" s="16" t="s">
        <v>8</v>
      </c>
      <c r="B10" s="17">
        <f>'Formation Energies'!I12</f>
        <v>-730.18265228414646</v>
      </c>
      <c r="C10" s="17">
        <f>'Formation Energies'!Q12</f>
        <v>-190.81297236031199</v>
      </c>
      <c r="D10" s="16" t="s">
        <v>25</v>
      </c>
      <c r="E10" s="18">
        <f t="shared" si="0"/>
        <v>539.3696799238345</v>
      </c>
      <c r="F10" s="19" t="str">
        <f t="shared" si="1"/>
        <v>CANNOT reduce</v>
      </c>
    </row>
    <row r="11" spans="1:6" ht="16" x14ac:dyDescent="0.2">
      <c r="A11" s="12" t="s">
        <v>9</v>
      </c>
      <c r="B11" s="13">
        <f>'Formation Energies'!J12</f>
        <v>-624.88010802492988</v>
      </c>
      <c r="C11" s="13">
        <f>'Formation Energies'!Q12</f>
        <v>-190.81297236031199</v>
      </c>
      <c r="D11" s="12" t="s">
        <v>25</v>
      </c>
      <c r="E11" s="14">
        <f t="shared" si="0"/>
        <v>434.06713566461792</v>
      </c>
      <c r="F11" s="15" t="str">
        <f t="shared" si="1"/>
        <v>CANNOT reduce</v>
      </c>
    </row>
    <row r="12" spans="1:6" ht="16" x14ac:dyDescent="0.2">
      <c r="A12" s="16" t="s">
        <v>10</v>
      </c>
      <c r="B12" s="17">
        <f>'Formation Energies'!K12</f>
        <v>-576.50624790003087</v>
      </c>
      <c r="C12" s="17">
        <f>'Formation Energies'!Q12</f>
        <v>-190.81297236031199</v>
      </c>
      <c r="D12" s="16" t="s">
        <v>25</v>
      </c>
      <c r="E12" s="18">
        <f t="shared" si="0"/>
        <v>385.69327553971891</v>
      </c>
      <c r="F12" s="19" t="str">
        <f t="shared" si="1"/>
        <v>CANNOT reduce</v>
      </c>
    </row>
    <row r="13" spans="1:6" ht="16" x14ac:dyDescent="0.2">
      <c r="A13" s="12" t="s">
        <v>11</v>
      </c>
      <c r="B13" s="13">
        <f>'Formation Energies'!L12</f>
        <v>-448.03162888277598</v>
      </c>
      <c r="C13" s="13">
        <f>'Formation Energies'!Q12</f>
        <v>-190.81297236031199</v>
      </c>
      <c r="D13" s="12" t="s">
        <v>25</v>
      </c>
      <c r="E13" s="14">
        <f t="shared" si="0"/>
        <v>257.21865652246402</v>
      </c>
      <c r="F13" s="15" t="str">
        <f t="shared" si="1"/>
        <v>CANNOT reduce</v>
      </c>
    </row>
    <row r="14" spans="1:6" ht="16" x14ac:dyDescent="0.2">
      <c r="A14" s="16" t="s">
        <v>12</v>
      </c>
      <c r="B14" s="17">
        <f>'Formation Energies'!M12</f>
        <v>-411.1915962113269</v>
      </c>
      <c r="C14" s="17">
        <f>'Formation Energies'!Q12</f>
        <v>-190.81297236031199</v>
      </c>
      <c r="D14" s="16" t="s">
        <v>25</v>
      </c>
      <c r="E14" s="18">
        <f t="shared" si="0"/>
        <v>220.37862385101491</v>
      </c>
      <c r="F14" s="19" t="str">
        <f t="shared" si="1"/>
        <v>CANNOT reduce</v>
      </c>
    </row>
    <row r="15" spans="1:6" ht="16" x14ac:dyDescent="0.2">
      <c r="A15" s="12" t="s">
        <v>13</v>
      </c>
      <c r="B15" s="13">
        <f>'Formation Energies'!N12</f>
        <v>-325.71260997308849</v>
      </c>
      <c r="C15" s="13">
        <f>'Formation Energies'!Q12</f>
        <v>-190.81297236031199</v>
      </c>
      <c r="D15" s="12" t="s">
        <v>25</v>
      </c>
      <c r="E15" s="14">
        <f t="shared" si="0"/>
        <v>134.8996376127765</v>
      </c>
      <c r="F15" s="15" t="str">
        <f t="shared" si="1"/>
        <v>CANNOT reduce</v>
      </c>
    </row>
    <row r="16" spans="1:6" ht="16" x14ac:dyDescent="0.2">
      <c r="A16" s="16" t="s">
        <v>14</v>
      </c>
      <c r="B16" s="17">
        <f>'Formation Energies'!O12</f>
        <v>-298.35385897370088</v>
      </c>
      <c r="C16" s="17">
        <f>'Formation Energies'!Q12</f>
        <v>-190.81297236031199</v>
      </c>
      <c r="D16" s="16" t="s">
        <v>25</v>
      </c>
      <c r="E16" s="18">
        <f t="shared" si="0"/>
        <v>107.54088661338889</v>
      </c>
      <c r="F16" s="19" t="str">
        <f t="shared" si="1"/>
        <v>CANNOT reduce</v>
      </c>
    </row>
    <row r="17" spans="1:6" ht="16" x14ac:dyDescent="0.2">
      <c r="A17" s="12" t="s">
        <v>15</v>
      </c>
      <c r="B17" s="13">
        <f>'Formation Energies'!P12</f>
        <v>-156.07355569999999</v>
      </c>
      <c r="C17" s="13">
        <f>'Formation Energies'!Q12</f>
        <v>-190.81297236031199</v>
      </c>
      <c r="D17" s="12" t="s">
        <v>25</v>
      </c>
      <c r="E17" s="14">
        <f t="shared" si="0"/>
        <v>-34.739416660312003</v>
      </c>
      <c r="F17" s="15" t="str">
        <f t="shared" si="1"/>
        <v>CAN reduce</v>
      </c>
    </row>
    <row r="18" spans="1:6" ht="16" x14ac:dyDescent="0.2">
      <c r="A18" s="16" t="s">
        <v>18</v>
      </c>
      <c r="B18" s="17">
        <f>'Formation Energies'!S12</f>
        <v>0</v>
      </c>
      <c r="C18" s="17">
        <f>'Formation Energies'!Q12</f>
        <v>-190.81297236031199</v>
      </c>
      <c r="D18" s="16" t="s">
        <v>25</v>
      </c>
      <c r="E18" s="18">
        <f t="shared" si="0"/>
        <v>-190.81297236031199</v>
      </c>
      <c r="F18" s="19" t="str">
        <f t="shared" si="1"/>
        <v>CAN reduce</v>
      </c>
    </row>
    <row r="20" spans="1:6" ht="16" x14ac:dyDescent="0.2">
      <c r="A20" s="53" t="s">
        <v>26</v>
      </c>
      <c r="B20" s="54"/>
      <c r="C20" s="54"/>
      <c r="D20" s="54"/>
      <c r="E20" s="54"/>
      <c r="F20" s="54"/>
    </row>
    <row r="21" spans="1:6" x14ac:dyDescent="0.2">
      <c r="A21" s="1" t="s">
        <v>20</v>
      </c>
      <c r="B21" s="1" t="s">
        <v>21</v>
      </c>
      <c r="C21" s="1" t="s">
        <v>22</v>
      </c>
      <c r="D21" s="1"/>
      <c r="E21" s="1" t="s">
        <v>23</v>
      </c>
      <c r="F21" s="1" t="s">
        <v>24</v>
      </c>
    </row>
    <row r="22" spans="1:6" ht="16" x14ac:dyDescent="0.2">
      <c r="A22" s="12" t="s">
        <v>1</v>
      </c>
      <c r="B22" s="13">
        <f>'Formation Energies'!B22</f>
        <v>-1271.1859373</v>
      </c>
      <c r="C22" s="13">
        <f>'Formation Energies'!Q22</f>
        <v>-114.8758367473076</v>
      </c>
      <c r="D22" s="12" t="s">
        <v>25</v>
      </c>
      <c r="E22" s="14">
        <f t="shared" ref="E22:E37" si="2">C22-B22</f>
        <v>1156.3101005526923</v>
      </c>
      <c r="F22" s="15" t="str">
        <f t="shared" ref="F22:F37" si="3">IF(ISBLANK(B22),"Pending",IF(E22&gt;0,"CANNOT reduce","CAN reduce"))</f>
        <v>CANNOT reduce</v>
      </c>
    </row>
    <row r="23" spans="1:6" ht="16" x14ac:dyDescent="0.2">
      <c r="A23" s="16" t="s">
        <v>2</v>
      </c>
      <c r="B23" s="17">
        <f>'Formation Energies'!C22</f>
        <v>-951.31615693866206</v>
      </c>
      <c r="C23" s="17">
        <f>'Formation Energies'!Q22</f>
        <v>-114.8758367473076</v>
      </c>
      <c r="D23" s="16" t="s">
        <v>25</v>
      </c>
      <c r="E23" s="18">
        <f t="shared" si="2"/>
        <v>836.44032019135443</v>
      </c>
      <c r="F23" s="19" t="str">
        <f t="shared" si="3"/>
        <v>CANNOT reduce</v>
      </c>
    </row>
    <row r="24" spans="1:6" ht="16" x14ac:dyDescent="0.2">
      <c r="A24" s="12" t="s">
        <v>3</v>
      </c>
      <c r="B24" s="13">
        <f>'Formation Energies'!D22</f>
        <v>-910.06136560072775</v>
      </c>
      <c r="C24" s="13">
        <f>'Formation Energies'!Q22</f>
        <v>-114.8758367473076</v>
      </c>
      <c r="D24" s="12" t="s">
        <v>25</v>
      </c>
      <c r="E24" s="14">
        <f t="shared" si="2"/>
        <v>795.18552885342012</v>
      </c>
      <c r="F24" s="15" t="str">
        <f t="shared" si="3"/>
        <v>CANNOT reduce</v>
      </c>
    </row>
    <row r="25" spans="1:6" ht="16" x14ac:dyDescent="0.2">
      <c r="A25" s="16" t="s">
        <v>4</v>
      </c>
      <c r="B25" s="17">
        <f>'Formation Energies'!E22</f>
        <v>-851.36385290992871</v>
      </c>
      <c r="C25" s="17">
        <f>'Formation Energies'!Q22</f>
        <v>-114.8758367473076</v>
      </c>
      <c r="D25" s="16" t="s">
        <v>25</v>
      </c>
      <c r="E25" s="18">
        <f t="shared" si="2"/>
        <v>736.48801616262108</v>
      </c>
      <c r="F25" s="19" t="str">
        <f t="shared" si="3"/>
        <v>CANNOT reduce</v>
      </c>
    </row>
    <row r="26" spans="1:6" ht="16" x14ac:dyDescent="0.2">
      <c r="A26" s="12" t="s">
        <v>5</v>
      </c>
      <c r="B26" s="13">
        <f>'Formation Energies'!F22</f>
        <v>-816.94235876128221</v>
      </c>
      <c r="C26" s="13">
        <f>'Formation Energies'!Q22</f>
        <v>-114.8758367473076</v>
      </c>
      <c r="D26" s="12" t="s">
        <v>25</v>
      </c>
      <c r="E26" s="14">
        <f t="shared" si="2"/>
        <v>702.06652201397458</v>
      </c>
      <c r="F26" s="15" t="str">
        <f t="shared" si="3"/>
        <v>CANNOT reduce</v>
      </c>
    </row>
    <row r="27" spans="1:6" ht="16" x14ac:dyDescent="0.2">
      <c r="A27" s="16" t="s">
        <v>6</v>
      </c>
      <c r="B27" s="17">
        <f>'Formation Energies'!G22</f>
        <v>-797.54454595204402</v>
      </c>
      <c r="C27" s="17">
        <f>'Formation Energies'!Q22</f>
        <v>-114.8758367473076</v>
      </c>
      <c r="D27" s="16" t="s">
        <v>25</v>
      </c>
      <c r="E27" s="18">
        <f t="shared" si="2"/>
        <v>682.66870920473639</v>
      </c>
      <c r="F27" s="19" t="str">
        <f t="shared" si="3"/>
        <v>CANNOT reduce</v>
      </c>
    </row>
    <row r="28" spans="1:6" ht="16" x14ac:dyDescent="0.2">
      <c r="A28" s="12" t="s">
        <v>7</v>
      </c>
      <c r="B28" s="13">
        <f>'Formation Energies'!H22</f>
        <v>-671.5437419763158</v>
      </c>
      <c r="C28" s="13">
        <f>'Formation Energies'!Q22</f>
        <v>-114.8758367473076</v>
      </c>
      <c r="D28" s="12" t="s">
        <v>25</v>
      </c>
      <c r="E28" s="14">
        <f t="shared" si="2"/>
        <v>556.66790522900817</v>
      </c>
      <c r="F28" s="15" t="str">
        <f t="shared" si="3"/>
        <v>CANNOT reduce</v>
      </c>
    </row>
    <row r="29" spans="1:6" ht="16" x14ac:dyDescent="0.2">
      <c r="A29" s="16" t="s">
        <v>8</v>
      </c>
      <c r="B29" s="17">
        <f>'Formation Energies'!I22</f>
        <v>-644.30349125778741</v>
      </c>
      <c r="C29" s="17">
        <f>'Formation Energies'!Q22</f>
        <v>-114.8758367473076</v>
      </c>
      <c r="D29" s="16" t="s">
        <v>25</v>
      </c>
      <c r="E29" s="18">
        <f t="shared" si="2"/>
        <v>529.42765451047978</v>
      </c>
      <c r="F29" s="19" t="str">
        <f t="shared" si="3"/>
        <v>CANNOT reduce</v>
      </c>
    </row>
    <row r="30" spans="1:6" ht="16" x14ac:dyDescent="0.2">
      <c r="A30" s="12" t="s">
        <v>9</v>
      </c>
      <c r="B30" s="13">
        <f>'Formation Energies'!J22</f>
        <v>-548.77907828187665</v>
      </c>
      <c r="C30" s="13">
        <f>'Formation Energies'!Q22</f>
        <v>-114.8758367473076</v>
      </c>
      <c r="D30" s="12" t="s">
        <v>25</v>
      </c>
      <c r="E30" s="14">
        <f t="shared" si="2"/>
        <v>433.90324153456902</v>
      </c>
      <c r="F30" s="15" t="str">
        <f t="shared" si="3"/>
        <v>CANNOT reduce</v>
      </c>
    </row>
    <row r="31" spans="1:6" ht="16" x14ac:dyDescent="0.2">
      <c r="A31" s="16" t="s">
        <v>10</v>
      </c>
      <c r="B31" s="17">
        <f>'Formation Energies'!K22</f>
        <v>-492.69091146201072</v>
      </c>
      <c r="C31" s="17">
        <f>'Formation Energies'!Q22</f>
        <v>-114.8758367473076</v>
      </c>
      <c r="D31" s="16" t="s">
        <v>25</v>
      </c>
      <c r="E31" s="18">
        <f t="shared" si="2"/>
        <v>377.81507471470309</v>
      </c>
      <c r="F31" s="19" t="str">
        <f t="shared" si="3"/>
        <v>CANNOT reduce</v>
      </c>
    </row>
    <row r="32" spans="1:6" ht="16" x14ac:dyDescent="0.2">
      <c r="A32" s="12" t="s">
        <v>11</v>
      </c>
      <c r="B32" s="13">
        <f>'Formation Energies'!L22</f>
        <v>-381.87409754465148</v>
      </c>
      <c r="C32" s="13">
        <f>'Formation Energies'!Q22</f>
        <v>-114.8758367473076</v>
      </c>
      <c r="D32" s="12" t="s">
        <v>25</v>
      </c>
      <c r="E32" s="14">
        <f t="shared" si="2"/>
        <v>266.99826079734385</v>
      </c>
      <c r="F32" s="15" t="str">
        <f t="shared" si="3"/>
        <v>CANNOT reduce</v>
      </c>
    </row>
    <row r="33" spans="1:6" ht="16" x14ac:dyDescent="0.2">
      <c r="A33" s="16" t="s">
        <v>12</v>
      </c>
      <c r="B33" s="17">
        <f>'Formation Energies'!M22</f>
        <v>-345.6100594116478</v>
      </c>
      <c r="C33" s="17">
        <f>'Formation Energies'!Q22</f>
        <v>-114.8758367473076</v>
      </c>
      <c r="D33" s="16" t="s">
        <v>25</v>
      </c>
      <c r="E33" s="18">
        <f t="shared" si="2"/>
        <v>230.73422266434019</v>
      </c>
      <c r="F33" s="19" t="str">
        <f t="shared" si="3"/>
        <v>CANNOT reduce</v>
      </c>
    </row>
    <row r="34" spans="1:6" ht="16" x14ac:dyDescent="0.2">
      <c r="A34" s="12" t="s">
        <v>13</v>
      </c>
      <c r="B34" s="13">
        <f>'Formation Energies'!N22</f>
        <v>-256.15619346994151</v>
      </c>
      <c r="C34" s="13">
        <f>'Formation Energies'!Q22</f>
        <v>-114.8758367473076</v>
      </c>
      <c r="D34" s="12" t="s">
        <v>25</v>
      </c>
      <c r="E34" s="14">
        <f t="shared" si="2"/>
        <v>141.28035672263391</v>
      </c>
      <c r="F34" s="15" t="str">
        <f t="shared" si="3"/>
        <v>CANNOT reduce</v>
      </c>
    </row>
    <row r="35" spans="1:6" ht="16" x14ac:dyDescent="0.2">
      <c r="A35" s="16" t="s">
        <v>14</v>
      </c>
      <c r="B35" s="17">
        <f>'Formation Energies'!O22</f>
        <v>-214.38239979621051</v>
      </c>
      <c r="C35" s="17">
        <f>'Formation Energies'!Q22</f>
        <v>-114.8758367473076</v>
      </c>
      <c r="D35" s="16" t="s">
        <v>25</v>
      </c>
      <c r="E35" s="18">
        <f t="shared" si="2"/>
        <v>99.506563048902905</v>
      </c>
      <c r="F35" s="19" t="str">
        <f t="shared" si="3"/>
        <v>CANNOT reduce</v>
      </c>
    </row>
    <row r="36" spans="1:6" ht="16" x14ac:dyDescent="0.2">
      <c r="A36" s="12" t="s">
        <v>15</v>
      </c>
      <c r="B36" s="13">
        <f>'Formation Energies'!P22</f>
        <v>-195.90167210000001</v>
      </c>
      <c r="C36" s="13">
        <f>'Formation Energies'!Q22</f>
        <v>-114.8758367473076</v>
      </c>
      <c r="D36" s="12" t="s">
        <v>25</v>
      </c>
      <c r="E36" s="14">
        <f t="shared" si="2"/>
        <v>81.025835352692411</v>
      </c>
      <c r="F36" s="15" t="str">
        <f t="shared" si="3"/>
        <v>CANNOT reduce</v>
      </c>
    </row>
    <row r="37" spans="1:6" ht="16" x14ac:dyDescent="0.2">
      <c r="A37" s="16" t="s">
        <v>18</v>
      </c>
      <c r="B37" s="17">
        <f>'Formation Energies'!S22</f>
        <v>0</v>
      </c>
      <c r="C37" s="17">
        <f>'Formation Energies'!Q22</f>
        <v>-114.8758367473076</v>
      </c>
      <c r="D37" s="16" t="s">
        <v>25</v>
      </c>
      <c r="E37" s="18">
        <f t="shared" si="2"/>
        <v>-114.8758367473076</v>
      </c>
      <c r="F37" s="19" t="str">
        <f t="shared" si="3"/>
        <v>CAN reduce</v>
      </c>
    </row>
    <row r="39" spans="1:6" ht="16" x14ac:dyDescent="0.2">
      <c r="A39" s="53" t="s">
        <v>27</v>
      </c>
      <c r="B39" s="54"/>
      <c r="C39" s="54"/>
      <c r="D39" s="54"/>
      <c r="E39" s="54"/>
      <c r="F39" s="54"/>
    </row>
    <row r="40" spans="1:6" x14ac:dyDescent="0.2">
      <c r="A40" s="1" t="s">
        <v>20</v>
      </c>
      <c r="B40" s="1" t="s">
        <v>21</v>
      </c>
      <c r="C40" s="1" t="s">
        <v>22</v>
      </c>
      <c r="D40" s="1"/>
      <c r="E40" s="1" t="s">
        <v>23</v>
      </c>
      <c r="F40" s="1" t="s">
        <v>24</v>
      </c>
    </row>
    <row r="41" spans="1:6" ht="16" x14ac:dyDescent="0.2">
      <c r="A41" s="12" t="s">
        <v>1</v>
      </c>
      <c r="B41" s="13">
        <f>'Formation Energies'!B28</f>
        <v>-1328.1808049000001</v>
      </c>
      <c r="C41" s="13">
        <f>'Formation Energies'!Q28</f>
        <v>-87.468853364792366</v>
      </c>
      <c r="D41" s="12" t="s">
        <v>25</v>
      </c>
      <c r="E41" s="14">
        <f t="shared" ref="E41:E56" si="4">C41-B41</f>
        <v>1240.7119515352078</v>
      </c>
      <c r="F41" s="15" t="str">
        <f t="shared" ref="F41:F56" si="5">IF(ISBLANK(B41),"Pending",IF(E41&gt;0,"CANNOT reduce","CAN reduce"))</f>
        <v>CANNOT reduce</v>
      </c>
    </row>
    <row r="42" spans="1:6" ht="16" x14ac:dyDescent="0.2">
      <c r="A42" s="16" t="s">
        <v>2</v>
      </c>
      <c r="B42" s="17">
        <f>'Formation Energies'!C28</f>
        <v>-878.77799315356162</v>
      </c>
      <c r="C42" s="17">
        <f>'Formation Energies'!Q28</f>
        <v>-87.468853364792366</v>
      </c>
      <c r="D42" s="16" t="s">
        <v>25</v>
      </c>
      <c r="E42" s="18">
        <f t="shared" si="4"/>
        <v>791.30913978876924</v>
      </c>
      <c r="F42" s="19" t="str">
        <f t="shared" si="5"/>
        <v>CANNOT reduce</v>
      </c>
    </row>
    <row r="43" spans="1:6" ht="16" x14ac:dyDescent="0.2">
      <c r="A43" s="12" t="s">
        <v>3</v>
      </c>
      <c r="B43" s="13">
        <f>'Formation Energies'!D28</f>
        <v>-853.74792880114796</v>
      </c>
      <c r="C43" s="13">
        <f>'Formation Energies'!Q28</f>
        <v>-87.468853364792366</v>
      </c>
      <c r="D43" s="12" t="s">
        <v>25</v>
      </c>
      <c r="E43" s="14">
        <f t="shared" si="4"/>
        <v>766.27907543635558</v>
      </c>
      <c r="F43" s="15" t="str">
        <f t="shared" si="5"/>
        <v>CANNOT reduce</v>
      </c>
    </row>
    <row r="44" spans="1:6" ht="16" x14ac:dyDescent="0.2">
      <c r="A44" s="16" t="s">
        <v>4</v>
      </c>
      <c r="B44" s="17">
        <f>'Formation Energies'!E28</f>
        <v>-730.33088132784519</v>
      </c>
      <c r="C44" s="17">
        <f>'Formation Energies'!Q28</f>
        <v>-87.468853364792366</v>
      </c>
      <c r="D44" s="16" t="s">
        <v>25</v>
      </c>
      <c r="E44" s="18">
        <f t="shared" si="4"/>
        <v>642.86202796305281</v>
      </c>
      <c r="F44" s="19" t="str">
        <f t="shared" si="5"/>
        <v>CANNOT reduce</v>
      </c>
    </row>
    <row r="45" spans="1:6" ht="16" x14ac:dyDescent="0.2">
      <c r="A45" s="12" t="s">
        <v>5</v>
      </c>
      <c r="B45" s="13">
        <f>'Formation Energies'!F28</f>
        <v>-763.16813393740983</v>
      </c>
      <c r="C45" s="13">
        <f>'Formation Energies'!Q28</f>
        <v>-87.468853364792366</v>
      </c>
      <c r="D45" s="12" t="s">
        <v>25</v>
      </c>
      <c r="E45" s="14">
        <f t="shared" si="4"/>
        <v>675.69928057261745</v>
      </c>
      <c r="F45" s="15" t="str">
        <f t="shared" si="5"/>
        <v>CANNOT reduce</v>
      </c>
    </row>
    <row r="46" spans="1:6" ht="16" x14ac:dyDescent="0.2">
      <c r="A46" s="16" t="s">
        <v>6</v>
      </c>
      <c r="B46" s="17">
        <f>'Formation Energies'!G28</f>
        <v>-732.29107601531132</v>
      </c>
      <c r="C46" s="17">
        <f>'Formation Energies'!Q28</f>
        <v>-87.468853364792366</v>
      </c>
      <c r="D46" s="16" t="s">
        <v>25</v>
      </c>
      <c r="E46" s="18">
        <f t="shared" si="4"/>
        <v>644.82222265051894</v>
      </c>
      <c r="F46" s="19" t="str">
        <f t="shared" si="5"/>
        <v>CANNOT reduce</v>
      </c>
    </row>
    <row r="47" spans="1:6" ht="16" x14ac:dyDescent="0.2">
      <c r="A47" s="12" t="s">
        <v>7</v>
      </c>
      <c r="B47" s="13">
        <f>'Formation Energies'!H28</f>
        <v>-618.76704794527825</v>
      </c>
      <c r="C47" s="13">
        <f>'Formation Energies'!Q28</f>
        <v>-87.468853364792366</v>
      </c>
      <c r="D47" s="12" t="s">
        <v>25</v>
      </c>
      <c r="E47" s="14">
        <f t="shared" si="4"/>
        <v>531.29819458048587</v>
      </c>
      <c r="F47" s="15" t="str">
        <f t="shared" si="5"/>
        <v>CANNOT reduce</v>
      </c>
    </row>
    <row r="48" spans="1:6" ht="16" x14ac:dyDescent="0.2">
      <c r="A48" s="16" t="s">
        <v>8</v>
      </c>
      <c r="B48" s="17">
        <f>'Formation Energies'!I28</f>
        <v>-590.18933907266637</v>
      </c>
      <c r="C48" s="17">
        <f>'Formation Energies'!Q28</f>
        <v>-87.468853364792366</v>
      </c>
      <c r="D48" s="16" t="s">
        <v>25</v>
      </c>
      <c r="E48" s="18">
        <f t="shared" si="4"/>
        <v>502.72048570787399</v>
      </c>
      <c r="F48" s="19" t="str">
        <f t="shared" si="5"/>
        <v>CANNOT reduce</v>
      </c>
    </row>
    <row r="49" spans="1:6" ht="16" x14ac:dyDescent="0.2">
      <c r="A49" s="12" t="s">
        <v>9</v>
      </c>
      <c r="B49" s="13">
        <f>'Formation Energies'!J28</f>
        <v>-496.36287691945938</v>
      </c>
      <c r="C49" s="13">
        <f>'Formation Energies'!Q28</f>
        <v>-87.468853364792366</v>
      </c>
      <c r="D49" s="12" t="s">
        <v>25</v>
      </c>
      <c r="E49" s="14">
        <f t="shared" si="4"/>
        <v>408.894023554667</v>
      </c>
      <c r="F49" s="15" t="str">
        <f t="shared" si="5"/>
        <v>CANNOT reduce</v>
      </c>
    </row>
    <row r="50" spans="1:6" ht="16" x14ac:dyDescent="0.2">
      <c r="A50" s="16" t="s">
        <v>10</v>
      </c>
      <c r="B50" s="17">
        <f>'Formation Energies'!K28</f>
        <v>-442.30781541664737</v>
      </c>
      <c r="C50" s="17">
        <f>'Formation Energies'!Q28</f>
        <v>-87.468853364792366</v>
      </c>
      <c r="D50" s="16" t="s">
        <v>25</v>
      </c>
      <c r="E50" s="18">
        <f t="shared" si="4"/>
        <v>354.83896205185499</v>
      </c>
      <c r="F50" s="19" t="str">
        <f t="shared" si="5"/>
        <v>CANNOT reduce</v>
      </c>
    </row>
    <row r="51" spans="1:6" ht="16" x14ac:dyDescent="0.2">
      <c r="A51" s="12" t="s">
        <v>11</v>
      </c>
      <c r="B51" s="13">
        <f>'Formation Energies'!L28</f>
        <v>-346.88652920395992</v>
      </c>
      <c r="C51" s="13">
        <f>'Formation Energies'!Q28</f>
        <v>-87.468853364792366</v>
      </c>
      <c r="D51" s="12" t="s">
        <v>25</v>
      </c>
      <c r="E51" s="14">
        <f t="shared" si="4"/>
        <v>259.41767583916754</v>
      </c>
      <c r="F51" s="15" t="str">
        <f t="shared" si="5"/>
        <v>CANNOT reduce</v>
      </c>
    </row>
    <row r="52" spans="1:6" ht="16" x14ac:dyDescent="0.2">
      <c r="A52" s="16" t="s">
        <v>12</v>
      </c>
      <c r="B52" s="17">
        <f>'Formation Energies'!M28</f>
        <v>-301.27683736462581</v>
      </c>
      <c r="C52" s="17">
        <f>'Formation Energies'!Q28</f>
        <v>-87.468853364792366</v>
      </c>
      <c r="D52" s="16" t="s">
        <v>25</v>
      </c>
      <c r="E52" s="18">
        <f t="shared" si="4"/>
        <v>213.80798399983343</v>
      </c>
      <c r="F52" s="19" t="str">
        <f t="shared" si="5"/>
        <v>CANNOT reduce</v>
      </c>
    </row>
    <row r="53" spans="1:6" ht="16" x14ac:dyDescent="0.2">
      <c r="A53" s="12" t="s">
        <v>13</v>
      </c>
      <c r="B53" s="13">
        <f>'Formation Energies'!N28</f>
        <v>-214.0876130411034</v>
      </c>
      <c r="C53" s="13">
        <f>'Formation Energies'!Q28</f>
        <v>-87.468853364792366</v>
      </c>
      <c r="D53" s="12" t="s">
        <v>25</v>
      </c>
      <c r="E53" s="14">
        <f t="shared" si="4"/>
        <v>126.61875967631103</v>
      </c>
      <c r="F53" s="15" t="str">
        <f t="shared" si="5"/>
        <v>CANNOT reduce</v>
      </c>
    </row>
    <row r="54" spans="1:6" ht="16" x14ac:dyDescent="0.2">
      <c r="A54" s="16" t="s">
        <v>14</v>
      </c>
      <c r="B54" s="17">
        <f>'Formation Energies'!O28</f>
        <v>-163.49178661632661</v>
      </c>
      <c r="C54" s="17">
        <f>'Formation Energies'!Q28</f>
        <v>-87.468853364792366</v>
      </c>
      <c r="D54" s="16" t="s">
        <v>25</v>
      </c>
      <c r="E54" s="18">
        <f t="shared" si="4"/>
        <v>76.022933251534241</v>
      </c>
      <c r="F54" s="19" t="str">
        <f t="shared" si="5"/>
        <v>CANNOT reduce</v>
      </c>
    </row>
    <row r="55" spans="1:6" ht="16" x14ac:dyDescent="0.2">
      <c r="A55" s="12" t="s">
        <v>15</v>
      </c>
      <c r="B55" s="13">
        <f>'Formation Energies'!P28</f>
        <v>-223.6241454</v>
      </c>
      <c r="C55" s="13">
        <f>'Formation Energies'!Q28</f>
        <v>-87.468853364792366</v>
      </c>
      <c r="D55" s="12" t="s">
        <v>25</v>
      </c>
      <c r="E55" s="14">
        <f t="shared" si="4"/>
        <v>136.15529203520765</v>
      </c>
      <c r="F55" s="15" t="str">
        <f t="shared" si="5"/>
        <v>CANNOT reduce</v>
      </c>
    </row>
    <row r="56" spans="1:6" ht="16" x14ac:dyDescent="0.2">
      <c r="A56" s="16" t="s">
        <v>18</v>
      </c>
      <c r="B56" s="17">
        <f>'Formation Energies'!S28</f>
        <v>-568.57302319325413</v>
      </c>
      <c r="C56" s="17">
        <f>'Formation Energies'!Q28</f>
        <v>-87.468853364792366</v>
      </c>
      <c r="D56" s="16" t="s">
        <v>25</v>
      </c>
      <c r="E56" s="18">
        <f t="shared" si="4"/>
        <v>481.10416982846175</v>
      </c>
      <c r="F56" s="19" t="str">
        <f t="shared" si="5"/>
        <v>CANNOT reduce</v>
      </c>
    </row>
  </sheetData>
  <mergeCells count="3">
    <mergeCell ref="A20:F20"/>
    <mergeCell ref="A39:F3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125"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3" width="30" customWidth="1"/>
    <col min="4" max="4" width="10" customWidth="1"/>
  </cols>
  <sheetData>
    <row r="1" spans="1:4" ht="16" x14ac:dyDescent="0.2">
      <c r="A1" s="11" t="s">
        <v>28</v>
      </c>
    </row>
    <row r="2" spans="1:4" x14ac:dyDescent="0.2">
      <c r="A2" s="20"/>
    </row>
    <row r="3" spans="1:4" x14ac:dyDescent="0.2">
      <c r="A3" s="20" t="s">
        <v>29</v>
      </c>
    </row>
    <row r="4" spans="1:4" x14ac:dyDescent="0.2">
      <c r="A4" s="20" t="s">
        <v>30</v>
      </c>
    </row>
    <row r="5" spans="1:4" x14ac:dyDescent="0.2">
      <c r="A5" s="20"/>
    </row>
    <row r="6" spans="1:4" x14ac:dyDescent="0.2">
      <c r="A6" s="20" t="s">
        <v>31</v>
      </c>
    </row>
    <row r="7" spans="1:4" x14ac:dyDescent="0.2">
      <c r="A7" s="20" t="s">
        <v>32</v>
      </c>
    </row>
    <row r="8" spans="1:4" x14ac:dyDescent="0.2">
      <c r="A8" s="20"/>
    </row>
    <row r="9" spans="1:4" ht="16" x14ac:dyDescent="0.2">
      <c r="A9" s="11" t="s">
        <v>33</v>
      </c>
    </row>
    <row r="10" spans="1:4" x14ac:dyDescent="0.2">
      <c r="A10" s="21" t="s">
        <v>20</v>
      </c>
      <c r="B10" s="21" t="s">
        <v>34</v>
      </c>
      <c r="C10" s="21" t="s">
        <v>35</v>
      </c>
      <c r="D10" s="21" t="s">
        <v>36</v>
      </c>
    </row>
    <row r="11" spans="1:4" x14ac:dyDescent="0.2">
      <c r="A11" s="22" t="s">
        <v>37</v>
      </c>
      <c r="B11" s="22">
        <v>3</v>
      </c>
      <c r="C11" s="22" t="s">
        <v>38</v>
      </c>
      <c r="D11" s="22">
        <v>2</v>
      </c>
    </row>
    <row r="12" spans="1:4" x14ac:dyDescent="0.2">
      <c r="A12" s="23" t="s">
        <v>39</v>
      </c>
      <c r="B12" s="23">
        <v>5</v>
      </c>
      <c r="C12" s="23" t="s">
        <v>40</v>
      </c>
      <c r="D12" s="23">
        <v>0.66700000000000004</v>
      </c>
    </row>
    <row r="13" spans="1:4" x14ac:dyDescent="0.2">
      <c r="A13" s="22" t="s">
        <v>4</v>
      </c>
      <c r="B13" s="22">
        <v>2</v>
      </c>
      <c r="C13" s="22" t="s">
        <v>41</v>
      </c>
      <c r="D13" s="22">
        <v>2</v>
      </c>
    </row>
    <row r="14" spans="1:4" x14ac:dyDescent="0.2">
      <c r="A14" s="23" t="s">
        <v>42</v>
      </c>
      <c r="B14" s="23">
        <v>3</v>
      </c>
      <c r="C14" s="23" t="s">
        <v>43</v>
      </c>
      <c r="D14" s="23">
        <v>1</v>
      </c>
    </row>
    <row r="15" spans="1:4" x14ac:dyDescent="0.2">
      <c r="A15" s="22" t="s">
        <v>44</v>
      </c>
      <c r="B15" s="22">
        <v>3</v>
      </c>
      <c r="C15" s="22" t="s">
        <v>45</v>
      </c>
      <c r="D15" s="22">
        <v>1</v>
      </c>
    </row>
    <row r="16" spans="1:4" x14ac:dyDescent="0.2">
      <c r="A16" s="23" t="s">
        <v>12</v>
      </c>
      <c r="B16" s="23">
        <v>2</v>
      </c>
      <c r="C16" s="23" t="s">
        <v>46</v>
      </c>
      <c r="D16" s="23">
        <v>2</v>
      </c>
    </row>
    <row r="17" spans="1:4" x14ac:dyDescent="0.2">
      <c r="A17" s="22" t="s">
        <v>2</v>
      </c>
      <c r="B17" s="22">
        <v>2</v>
      </c>
      <c r="C17" s="22" t="s">
        <v>47</v>
      </c>
      <c r="D17" s="22">
        <v>2</v>
      </c>
    </row>
    <row r="18" spans="1:4" x14ac:dyDescent="0.2">
      <c r="A18" s="23" t="s">
        <v>48</v>
      </c>
      <c r="B18" s="23">
        <v>7</v>
      </c>
      <c r="C18" s="23" t="s">
        <v>49</v>
      </c>
      <c r="D18" s="23">
        <v>0.4</v>
      </c>
    </row>
    <row r="19" spans="1:4" x14ac:dyDescent="0.2">
      <c r="A19" s="22" t="s">
        <v>50</v>
      </c>
      <c r="B19" s="22">
        <v>5</v>
      </c>
      <c r="C19" s="22" t="s">
        <v>51</v>
      </c>
      <c r="D19" s="22">
        <v>0.66700000000000004</v>
      </c>
    </row>
    <row r="20" spans="1:4" x14ac:dyDescent="0.2">
      <c r="A20" s="23" t="s">
        <v>52</v>
      </c>
      <c r="B20" s="23">
        <v>5</v>
      </c>
      <c r="C20" s="23" t="s">
        <v>53</v>
      </c>
      <c r="D20" s="23">
        <v>0.66700000000000004</v>
      </c>
    </row>
    <row r="21" spans="1:4" x14ac:dyDescent="0.2">
      <c r="A21" s="22" t="s">
        <v>54</v>
      </c>
      <c r="B21" s="22">
        <v>3</v>
      </c>
      <c r="C21" s="22" t="s">
        <v>55</v>
      </c>
      <c r="D21" s="2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zoomScale="169" workbookViewId="0">
      <selection activeCell="L18" sqref="L18"/>
    </sheetView>
  </sheetViews>
  <sheetFormatPr baseColWidth="10" defaultColWidth="8.83203125" defaultRowHeight="15" x14ac:dyDescent="0.2"/>
  <cols>
    <col min="1" max="1" width="10" customWidth="1"/>
    <col min="2" max="3" width="8" customWidth="1"/>
    <col min="4" max="4" width="7" customWidth="1"/>
    <col min="5" max="5" width="8" customWidth="1"/>
    <col min="6" max="8" width="12" customWidth="1"/>
    <col min="9" max="10" width="10" customWidth="1"/>
    <col min="11" max="11" width="22" customWidth="1"/>
    <col min="12" max="12" width="10" customWidth="1"/>
  </cols>
  <sheetData>
    <row r="1" spans="1:12" x14ac:dyDescent="0.2">
      <c r="A1" s="1" t="s">
        <v>20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 x14ac:dyDescent="0.2">
      <c r="A2" s="12" t="s">
        <v>1</v>
      </c>
      <c r="B2" s="24">
        <v>7.22</v>
      </c>
      <c r="C2" s="24">
        <v>2400</v>
      </c>
      <c r="D2" s="24" t="s">
        <v>67</v>
      </c>
      <c r="E2" s="24" t="s">
        <v>68</v>
      </c>
      <c r="F2" s="25">
        <v>997.17641043968797</v>
      </c>
      <c r="G2" s="25">
        <v>1156.310100552693</v>
      </c>
      <c r="H2" s="25">
        <v>1240.7119515352081</v>
      </c>
      <c r="I2" s="24" t="s">
        <v>67</v>
      </c>
      <c r="J2" s="26">
        <v>6.0000000000000001E-3</v>
      </c>
      <c r="K2" s="24" t="s">
        <v>69</v>
      </c>
      <c r="L2" s="27" t="s">
        <v>70</v>
      </c>
    </row>
    <row r="3" spans="1:12" x14ac:dyDescent="0.2">
      <c r="A3" s="16" t="s">
        <v>2</v>
      </c>
      <c r="B3" s="28">
        <v>3.34</v>
      </c>
      <c r="C3" s="28">
        <v>2613</v>
      </c>
      <c r="D3" s="28" t="s">
        <v>68</v>
      </c>
      <c r="E3" s="28" t="s">
        <v>68</v>
      </c>
      <c r="F3" s="29">
        <v>870.21921841695371</v>
      </c>
      <c r="G3" s="29">
        <v>836.44032019135454</v>
      </c>
      <c r="H3" s="29">
        <v>791.30913978876913</v>
      </c>
      <c r="I3" s="28" t="s">
        <v>67</v>
      </c>
      <c r="J3" s="30">
        <v>2.0000000000000001E-4</v>
      </c>
      <c r="K3" s="28" t="s">
        <v>69</v>
      </c>
      <c r="L3" s="31" t="s">
        <v>71</v>
      </c>
    </row>
    <row r="4" spans="1:12" x14ac:dyDescent="0.2">
      <c r="A4" s="12" t="s">
        <v>3</v>
      </c>
      <c r="B4" s="24">
        <v>6.51</v>
      </c>
      <c r="C4" s="24">
        <v>2315</v>
      </c>
      <c r="D4" s="24" t="s">
        <v>68</v>
      </c>
      <c r="E4" s="24" t="s">
        <v>68</v>
      </c>
      <c r="F4" s="25">
        <v>812.99323595348869</v>
      </c>
      <c r="G4" s="25">
        <v>795.18552885342012</v>
      </c>
      <c r="H4" s="25">
        <v>766.27907543635558</v>
      </c>
      <c r="I4" s="24" t="s">
        <v>67</v>
      </c>
      <c r="J4" s="26">
        <v>0.01</v>
      </c>
      <c r="K4" s="24" t="s">
        <v>72</v>
      </c>
      <c r="L4" s="27" t="s">
        <v>71</v>
      </c>
    </row>
    <row r="5" spans="1:12" x14ac:dyDescent="0.2">
      <c r="A5" s="16" t="s">
        <v>4</v>
      </c>
      <c r="B5" s="28">
        <v>3.58</v>
      </c>
      <c r="C5" s="28">
        <v>2852</v>
      </c>
      <c r="D5" s="28" t="s">
        <v>68</v>
      </c>
      <c r="E5" s="28" t="s">
        <v>68</v>
      </c>
      <c r="F5" s="29">
        <v>795.9526219778686</v>
      </c>
      <c r="G5" s="29">
        <v>736.48801616262108</v>
      </c>
      <c r="H5" s="29">
        <v>642.8620279630527</v>
      </c>
      <c r="I5" s="28" t="s">
        <v>67</v>
      </c>
      <c r="J5" s="30">
        <v>2.9999999999999997E-4</v>
      </c>
      <c r="K5" s="28" t="s">
        <v>69</v>
      </c>
      <c r="L5" s="31" t="s">
        <v>71</v>
      </c>
    </row>
    <row r="6" spans="1:12" x14ac:dyDescent="0.2">
      <c r="A6" s="12" t="s">
        <v>5</v>
      </c>
      <c r="B6" s="24">
        <v>5.68</v>
      </c>
      <c r="C6" s="24">
        <v>2715</v>
      </c>
      <c r="D6" s="24" t="s">
        <v>68</v>
      </c>
      <c r="E6" s="24" t="s">
        <v>68</v>
      </c>
      <c r="F6" s="25">
        <v>718.59323216621283</v>
      </c>
      <c r="G6" s="25">
        <v>702.06652201397458</v>
      </c>
      <c r="H6" s="25">
        <v>675.69928057261745</v>
      </c>
      <c r="I6" s="24" t="s">
        <v>67</v>
      </c>
      <c r="J6" s="26">
        <v>3.5000000000000003E-2</v>
      </c>
      <c r="K6" s="24" t="s">
        <v>69</v>
      </c>
      <c r="L6" s="27" t="s">
        <v>71</v>
      </c>
    </row>
    <row r="7" spans="1:12" x14ac:dyDescent="0.2">
      <c r="A7" s="16" t="s">
        <v>6</v>
      </c>
      <c r="B7" s="28">
        <v>3.95</v>
      </c>
      <c r="C7" s="28">
        <v>2072</v>
      </c>
      <c r="D7" s="28" t="s">
        <v>68</v>
      </c>
      <c r="E7" s="28" t="s">
        <v>68</v>
      </c>
      <c r="F7" s="29">
        <v>716.71731132894979</v>
      </c>
      <c r="G7" s="29">
        <v>682.66870920473639</v>
      </c>
      <c r="H7" s="29">
        <v>644.82222265051882</v>
      </c>
      <c r="I7" s="28" t="s">
        <v>67</v>
      </c>
      <c r="J7" s="30">
        <v>5.0000000000000001E-4</v>
      </c>
      <c r="K7" s="28" t="s">
        <v>69</v>
      </c>
      <c r="L7" s="31" t="s">
        <v>71</v>
      </c>
    </row>
    <row r="8" spans="1:12" x14ac:dyDescent="0.2">
      <c r="A8" s="12" t="s">
        <v>7</v>
      </c>
      <c r="B8" s="24">
        <v>4.2300000000000004</v>
      </c>
      <c r="C8" s="24">
        <v>1843</v>
      </c>
      <c r="D8" s="24" t="s">
        <v>68</v>
      </c>
      <c r="E8" s="24" t="s">
        <v>68</v>
      </c>
      <c r="F8" s="25">
        <v>569.38894636748023</v>
      </c>
      <c r="G8" s="25">
        <v>556.66790522900828</v>
      </c>
      <c r="H8" s="25">
        <v>531.29819458048576</v>
      </c>
      <c r="I8" s="24" t="s">
        <v>67</v>
      </c>
      <c r="J8" s="26">
        <v>3.0000000000000001E-3</v>
      </c>
      <c r="K8" s="24" t="s">
        <v>69</v>
      </c>
      <c r="L8" s="27" t="s">
        <v>71</v>
      </c>
    </row>
    <row r="9" spans="1:12" x14ac:dyDescent="0.2">
      <c r="A9" s="16" t="s">
        <v>8</v>
      </c>
      <c r="B9" s="28">
        <v>2.65</v>
      </c>
      <c r="C9" s="28">
        <v>1713</v>
      </c>
      <c r="D9" s="28" t="s">
        <v>68</v>
      </c>
      <c r="E9" s="28" t="s">
        <v>68</v>
      </c>
      <c r="F9" s="29">
        <v>539.36967992383438</v>
      </c>
      <c r="G9" s="29">
        <v>529.4276545104799</v>
      </c>
      <c r="H9" s="29">
        <v>502.72048570787399</v>
      </c>
      <c r="I9" s="28" t="s">
        <v>67</v>
      </c>
      <c r="J9" s="30">
        <v>5.0000000000000002E-5</v>
      </c>
      <c r="K9" s="28" t="s">
        <v>73</v>
      </c>
      <c r="L9" s="31" t="s">
        <v>71</v>
      </c>
    </row>
    <row r="10" spans="1:12" x14ac:dyDescent="0.2">
      <c r="A10" s="12" t="s">
        <v>9</v>
      </c>
      <c r="B10" s="24">
        <v>5.43</v>
      </c>
      <c r="C10" s="24">
        <v>1842</v>
      </c>
      <c r="D10" s="24" t="s">
        <v>68</v>
      </c>
      <c r="E10" s="24" t="s">
        <v>68</v>
      </c>
      <c r="F10" s="25">
        <v>434.06713566461792</v>
      </c>
      <c r="G10" s="25">
        <v>433.90324153456902</v>
      </c>
      <c r="H10" s="25">
        <v>408.894023554667</v>
      </c>
      <c r="I10" s="24" t="s">
        <v>67</v>
      </c>
      <c r="J10" s="26">
        <v>5.0000000000000001E-3</v>
      </c>
      <c r="K10" s="24" t="s">
        <v>69</v>
      </c>
      <c r="L10" s="27" t="s">
        <v>71</v>
      </c>
    </row>
    <row r="11" spans="1:12" x14ac:dyDescent="0.2">
      <c r="A11" s="16" t="s">
        <v>10</v>
      </c>
      <c r="B11" s="28">
        <v>5.22</v>
      </c>
      <c r="C11" s="28">
        <v>2435</v>
      </c>
      <c r="D11" s="28" t="s">
        <v>68</v>
      </c>
      <c r="E11" s="28" t="s">
        <v>68</v>
      </c>
      <c r="F11" s="29">
        <v>385.69327553971891</v>
      </c>
      <c r="G11" s="29">
        <v>377.81507471470297</v>
      </c>
      <c r="H11" s="29">
        <v>354.83896205185499</v>
      </c>
      <c r="I11" s="28" t="s">
        <v>67</v>
      </c>
      <c r="J11" s="30">
        <v>5.0000000000000001E-3</v>
      </c>
      <c r="K11" s="28" t="s">
        <v>74</v>
      </c>
      <c r="L11" s="31" t="s">
        <v>71</v>
      </c>
    </row>
    <row r="12" spans="1:12" x14ac:dyDescent="0.2">
      <c r="A12" s="32" t="s">
        <v>11</v>
      </c>
      <c r="B12" s="33">
        <v>3.36</v>
      </c>
      <c r="C12" s="33">
        <v>690</v>
      </c>
      <c r="D12" s="33" t="s">
        <v>68</v>
      </c>
      <c r="E12" s="33" t="s">
        <v>75</v>
      </c>
      <c r="F12" s="34">
        <v>257.21865652246402</v>
      </c>
      <c r="G12" s="34">
        <v>266.9982607973439</v>
      </c>
      <c r="H12" s="34">
        <v>259.41767583916749</v>
      </c>
      <c r="I12" s="33" t="s">
        <v>67</v>
      </c>
      <c r="J12" s="35">
        <v>1.0999999999999999E-2</v>
      </c>
      <c r="K12" s="33" t="s">
        <v>76</v>
      </c>
      <c r="L12" s="36" t="s">
        <v>71</v>
      </c>
    </row>
    <row r="13" spans="1:12" x14ac:dyDescent="0.2">
      <c r="A13" s="16" t="s">
        <v>12</v>
      </c>
      <c r="B13" s="28">
        <v>5.74</v>
      </c>
      <c r="C13" s="28">
        <v>1377</v>
      </c>
      <c r="D13" s="28" t="s">
        <v>68</v>
      </c>
      <c r="E13" s="28" t="s">
        <v>75</v>
      </c>
      <c r="F13" s="29">
        <v>220.37862385101491</v>
      </c>
      <c r="G13" s="29">
        <v>230.73422266434019</v>
      </c>
      <c r="H13" s="29">
        <v>213.80798399983351</v>
      </c>
      <c r="I13" s="28" t="s">
        <v>67</v>
      </c>
      <c r="J13" s="30">
        <v>8.9999999999999998E-4</v>
      </c>
      <c r="K13" s="28" t="s">
        <v>69</v>
      </c>
      <c r="L13" s="31" t="s">
        <v>71</v>
      </c>
    </row>
    <row r="14" spans="1:12" x14ac:dyDescent="0.2">
      <c r="A14" s="32" t="s">
        <v>13</v>
      </c>
      <c r="B14" s="33">
        <v>6.44</v>
      </c>
      <c r="C14" s="33">
        <v>1830</v>
      </c>
      <c r="D14" s="33" t="s">
        <v>68</v>
      </c>
      <c r="E14" s="33" t="s">
        <v>68</v>
      </c>
      <c r="F14" s="34">
        <v>134.8996376127765</v>
      </c>
      <c r="G14" s="34">
        <v>141.2803567226338</v>
      </c>
      <c r="H14" s="34">
        <v>126.618759676311</v>
      </c>
      <c r="I14" s="33" t="s">
        <v>67</v>
      </c>
      <c r="J14" s="35">
        <v>1.7999999999999999E-2</v>
      </c>
      <c r="K14" s="33" t="s">
        <v>76</v>
      </c>
      <c r="L14" s="36" t="s">
        <v>71</v>
      </c>
    </row>
    <row r="15" spans="1:12" x14ac:dyDescent="0.2">
      <c r="A15" s="32" t="s">
        <v>14</v>
      </c>
      <c r="B15" s="33">
        <v>6.67</v>
      </c>
      <c r="C15" s="33">
        <v>1955</v>
      </c>
      <c r="D15" s="33" t="s">
        <v>68</v>
      </c>
      <c r="E15" s="33" t="s">
        <v>68</v>
      </c>
      <c r="F15" s="34">
        <v>107.54088661338891</v>
      </c>
      <c r="G15" s="34">
        <v>99.506563048902905</v>
      </c>
      <c r="H15" s="34">
        <v>76.022933251534241</v>
      </c>
      <c r="I15" s="33" t="s">
        <v>67</v>
      </c>
      <c r="J15" s="35">
        <v>1.6E-2</v>
      </c>
      <c r="K15" s="33" t="s">
        <v>77</v>
      </c>
      <c r="L15" s="36" t="s">
        <v>71</v>
      </c>
    </row>
    <row r="16" spans="1:12" x14ac:dyDescent="0.2">
      <c r="A16" s="32" t="s">
        <v>15</v>
      </c>
      <c r="B16" s="33">
        <v>9.5299999999999994</v>
      </c>
      <c r="C16" s="33">
        <v>888</v>
      </c>
      <c r="D16" s="33" t="s">
        <v>67</v>
      </c>
      <c r="E16" s="33" t="s">
        <v>75</v>
      </c>
      <c r="F16" s="37">
        <v>-34.739416660311981</v>
      </c>
      <c r="G16" s="34">
        <v>81.025835352692368</v>
      </c>
      <c r="H16" s="34">
        <v>136.15529203520771</v>
      </c>
      <c r="I16" s="33" t="s">
        <v>67</v>
      </c>
      <c r="J16" s="35">
        <v>4.0000000000000001E-3</v>
      </c>
      <c r="K16" s="33" t="s">
        <v>78</v>
      </c>
      <c r="L16" s="36" t="s">
        <v>70</v>
      </c>
    </row>
    <row r="17" spans="1:12" x14ac:dyDescent="0.2">
      <c r="A17" s="16" t="s">
        <v>17</v>
      </c>
      <c r="B17" s="28">
        <v>6.31</v>
      </c>
      <c r="C17" s="28">
        <v>1326</v>
      </c>
      <c r="D17" s="28" t="s">
        <v>68</v>
      </c>
      <c r="E17" s="28" t="s">
        <v>75</v>
      </c>
      <c r="F17" s="38">
        <v>-58.805890501606633</v>
      </c>
      <c r="G17" s="38">
        <v>-51.731285940251723</v>
      </c>
      <c r="H17" s="38">
        <v>-40.99015583836951</v>
      </c>
      <c r="I17" s="28" t="s">
        <v>79</v>
      </c>
      <c r="J17" s="30">
        <v>8.0000000000000002E-3</v>
      </c>
      <c r="K17" s="28" t="s">
        <v>80</v>
      </c>
      <c r="L17" s="31" t="s">
        <v>71</v>
      </c>
    </row>
    <row r="18" spans="1:12" ht="26" x14ac:dyDescent="0.2">
      <c r="A18" s="12" t="s">
        <v>18</v>
      </c>
      <c r="B18" s="24">
        <v>2.5499999999999998</v>
      </c>
      <c r="C18" s="24">
        <v>450</v>
      </c>
      <c r="D18" s="24" t="s">
        <v>68</v>
      </c>
      <c r="E18" s="24" t="s">
        <v>75</v>
      </c>
      <c r="F18" s="39" t="s">
        <v>81</v>
      </c>
      <c r="G18" s="39" t="s">
        <v>81</v>
      </c>
      <c r="H18" s="25">
        <v>481.10416982846169</v>
      </c>
      <c r="I18" s="24" t="s">
        <v>67</v>
      </c>
      <c r="J18" s="26">
        <v>3.0000000000000001E-3</v>
      </c>
      <c r="K18" s="24" t="s">
        <v>82</v>
      </c>
      <c r="L18" s="2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10" customWidth="1"/>
    <col min="4" max="4" width="14" customWidth="1"/>
    <col min="5" max="5" width="10" customWidth="1"/>
    <col min="6" max="6" width="55" customWidth="1"/>
    <col min="7" max="7" width="18" customWidth="1"/>
  </cols>
  <sheetData>
    <row r="1" spans="1:7" x14ac:dyDescent="0.2">
      <c r="A1" s="1" t="s">
        <v>20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2">
      <c r="A2" s="12" t="s">
        <v>1</v>
      </c>
      <c r="B2" s="24" t="s">
        <v>90</v>
      </c>
      <c r="C2" s="40">
        <v>0.9</v>
      </c>
      <c r="D2" s="26">
        <v>6.0000000000000001E-3</v>
      </c>
      <c r="E2" s="24" t="s">
        <v>91</v>
      </c>
      <c r="F2" s="41" t="s">
        <v>92</v>
      </c>
      <c r="G2" s="24" t="s">
        <v>69</v>
      </c>
    </row>
    <row r="3" spans="1:7" x14ac:dyDescent="0.2">
      <c r="A3" s="16" t="s">
        <v>2</v>
      </c>
      <c r="B3" s="28" t="s">
        <v>93</v>
      </c>
      <c r="C3" s="42">
        <v>0.16</v>
      </c>
      <c r="D3" s="30">
        <v>2.0000000000000001E-4</v>
      </c>
      <c r="E3" s="28" t="s">
        <v>94</v>
      </c>
      <c r="F3" s="43" t="s">
        <v>95</v>
      </c>
      <c r="G3" s="28" t="s">
        <v>69</v>
      </c>
    </row>
    <row r="4" spans="1:7" x14ac:dyDescent="0.2">
      <c r="A4" s="12" t="s">
        <v>3</v>
      </c>
      <c r="B4" s="24" t="s">
        <v>96</v>
      </c>
      <c r="C4" s="40">
        <v>1.25</v>
      </c>
      <c r="D4" s="26">
        <v>0.01</v>
      </c>
      <c r="E4" s="24" t="s">
        <v>97</v>
      </c>
      <c r="F4" s="41" t="s">
        <v>98</v>
      </c>
      <c r="G4" s="24" t="s">
        <v>72</v>
      </c>
    </row>
    <row r="5" spans="1:7" x14ac:dyDescent="0.2">
      <c r="A5" s="16" t="s">
        <v>4</v>
      </c>
      <c r="B5" s="28" t="s">
        <v>99</v>
      </c>
      <c r="C5" s="42">
        <v>0.13</v>
      </c>
      <c r="D5" s="30">
        <v>2.9999999999999997E-4</v>
      </c>
      <c r="E5" s="28" t="s">
        <v>100</v>
      </c>
      <c r="F5" s="43" t="s">
        <v>101</v>
      </c>
      <c r="G5" s="28" t="s">
        <v>69</v>
      </c>
    </row>
    <row r="6" spans="1:7" x14ac:dyDescent="0.2">
      <c r="A6" s="12" t="s">
        <v>5</v>
      </c>
      <c r="B6" s="24" t="s">
        <v>102</v>
      </c>
      <c r="C6" s="40">
        <v>0.67</v>
      </c>
      <c r="D6" s="26">
        <v>3.5000000000000003E-2</v>
      </c>
      <c r="E6" s="24" t="s">
        <v>103</v>
      </c>
      <c r="F6" s="41" t="s">
        <v>104</v>
      </c>
      <c r="G6" s="24" t="s">
        <v>69</v>
      </c>
    </row>
    <row r="7" spans="1:7" x14ac:dyDescent="0.2">
      <c r="A7" s="16" t="s">
        <v>6</v>
      </c>
      <c r="B7" s="28" t="s">
        <v>105</v>
      </c>
      <c r="C7" s="42">
        <v>0.09</v>
      </c>
      <c r="D7" s="30">
        <v>5.0000000000000001E-4</v>
      </c>
      <c r="E7" s="28" t="s">
        <v>106</v>
      </c>
      <c r="F7" s="43" t="s">
        <v>107</v>
      </c>
      <c r="G7" s="28" t="s">
        <v>69</v>
      </c>
    </row>
    <row r="8" spans="1:7" x14ac:dyDescent="0.2">
      <c r="A8" s="12" t="s">
        <v>7</v>
      </c>
      <c r="B8" s="24" t="s">
        <v>108</v>
      </c>
      <c r="C8" s="40">
        <v>0.28999999999999998</v>
      </c>
      <c r="D8" s="26">
        <v>3.0000000000000001E-3</v>
      </c>
      <c r="E8" s="24" t="s">
        <v>109</v>
      </c>
      <c r="F8" s="41" t="s">
        <v>110</v>
      </c>
      <c r="G8" s="24" t="s">
        <v>69</v>
      </c>
    </row>
    <row r="9" spans="1:7" x14ac:dyDescent="0.2">
      <c r="A9" s="16" t="s">
        <v>8</v>
      </c>
      <c r="B9" s="28" t="s">
        <v>111</v>
      </c>
      <c r="C9" s="42">
        <v>0.1</v>
      </c>
      <c r="D9" s="30">
        <v>5.0000000000000002E-5</v>
      </c>
      <c r="E9" s="28" t="s">
        <v>112</v>
      </c>
      <c r="F9" s="43" t="s">
        <v>113</v>
      </c>
      <c r="G9" s="28" t="s">
        <v>73</v>
      </c>
    </row>
    <row r="10" spans="1:7" x14ac:dyDescent="0.2">
      <c r="A10" s="12" t="s">
        <v>9</v>
      </c>
      <c r="B10" s="24" t="s">
        <v>114</v>
      </c>
      <c r="C10" s="40">
        <v>0.55000000000000004</v>
      </c>
      <c r="D10" s="26">
        <v>5.0000000000000001E-3</v>
      </c>
      <c r="E10" s="24" t="s">
        <v>115</v>
      </c>
      <c r="F10" s="41" t="s">
        <v>116</v>
      </c>
      <c r="G10" s="24" t="s">
        <v>69</v>
      </c>
    </row>
    <row r="11" spans="1:7" x14ac:dyDescent="0.2">
      <c r="A11" s="16" t="s">
        <v>10</v>
      </c>
      <c r="B11" s="28" t="s">
        <v>117</v>
      </c>
      <c r="C11" s="42">
        <v>2.38</v>
      </c>
      <c r="D11" s="30">
        <v>5.0000000000000001E-3</v>
      </c>
      <c r="E11" s="28" t="s">
        <v>118</v>
      </c>
      <c r="F11" s="43" t="s">
        <v>119</v>
      </c>
      <c r="G11" s="28" t="s">
        <v>74</v>
      </c>
    </row>
    <row r="12" spans="1:7" x14ac:dyDescent="0.2">
      <c r="A12" s="32" t="s">
        <v>11</v>
      </c>
      <c r="B12" s="33" t="s">
        <v>120</v>
      </c>
      <c r="C12" s="44">
        <v>1</v>
      </c>
      <c r="D12" s="35">
        <v>1.0999999999999999E-2</v>
      </c>
      <c r="E12" s="33" t="s">
        <v>121</v>
      </c>
      <c r="F12" s="45" t="s">
        <v>122</v>
      </c>
      <c r="G12" s="46" t="s">
        <v>76</v>
      </c>
    </row>
    <row r="13" spans="1:7" x14ac:dyDescent="0.2">
      <c r="A13" s="16" t="s">
        <v>12</v>
      </c>
      <c r="B13" s="28" t="s">
        <v>123</v>
      </c>
      <c r="C13" s="42">
        <v>0.75</v>
      </c>
      <c r="D13" s="30">
        <v>8.9999999999999998E-4</v>
      </c>
      <c r="E13" s="28" t="s">
        <v>124</v>
      </c>
      <c r="F13" s="43" t="s">
        <v>125</v>
      </c>
      <c r="G13" s="28" t="s">
        <v>69</v>
      </c>
    </row>
    <row r="14" spans="1:7" x14ac:dyDescent="0.2">
      <c r="A14" s="32" t="s">
        <v>13</v>
      </c>
      <c r="B14" s="33" t="s">
        <v>126</v>
      </c>
      <c r="C14" s="44">
        <v>1</v>
      </c>
      <c r="D14" s="35">
        <v>1.7999999999999999E-2</v>
      </c>
      <c r="E14" s="33" t="s">
        <v>127</v>
      </c>
      <c r="F14" s="45" t="s">
        <v>128</v>
      </c>
      <c r="G14" s="46" t="s">
        <v>76</v>
      </c>
    </row>
    <row r="15" spans="1:7" x14ac:dyDescent="0.2">
      <c r="A15" s="32" t="s">
        <v>14</v>
      </c>
      <c r="B15" s="33" t="s">
        <v>129</v>
      </c>
      <c r="C15" s="44">
        <v>0.7</v>
      </c>
      <c r="D15" s="35">
        <v>1.6E-2</v>
      </c>
      <c r="E15" s="33" t="s">
        <v>130</v>
      </c>
      <c r="F15" s="45" t="s">
        <v>131</v>
      </c>
      <c r="G15" s="46" t="s">
        <v>77</v>
      </c>
    </row>
    <row r="16" spans="1:7" x14ac:dyDescent="0.2">
      <c r="A16" s="32" t="s">
        <v>15</v>
      </c>
      <c r="B16" s="33" t="s">
        <v>132</v>
      </c>
      <c r="C16" s="44">
        <v>0.26</v>
      </c>
      <c r="D16" s="35">
        <v>4.0000000000000001E-3</v>
      </c>
      <c r="E16" s="33" t="s">
        <v>133</v>
      </c>
      <c r="F16" s="45" t="s">
        <v>134</v>
      </c>
      <c r="G16" s="46" t="s">
        <v>78</v>
      </c>
    </row>
    <row r="17" spans="1:7" x14ac:dyDescent="0.2">
      <c r="A17" s="16" t="s">
        <v>16</v>
      </c>
      <c r="B17" s="28" t="s">
        <v>135</v>
      </c>
      <c r="C17" s="42">
        <v>0.34</v>
      </c>
      <c r="D17" s="30">
        <v>8.0000000000000002E-3</v>
      </c>
      <c r="E17" s="28" t="s">
        <v>136</v>
      </c>
      <c r="F17" s="43" t="s">
        <v>137</v>
      </c>
      <c r="G17" s="28" t="s">
        <v>138</v>
      </c>
    </row>
    <row r="18" spans="1:7" x14ac:dyDescent="0.2">
      <c r="A18" s="12" t="s">
        <v>17</v>
      </c>
      <c r="B18" s="24" t="s">
        <v>139</v>
      </c>
      <c r="C18" s="40">
        <v>0.38</v>
      </c>
      <c r="D18" s="26">
        <v>8.0000000000000002E-3</v>
      </c>
      <c r="E18" s="24" t="s">
        <v>140</v>
      </c>
      <c r="F18" s="41" t="s">
        <v>141</v>
      </c>
      <c r="G18" s="24" t="s">
        <v>80</v>
      </c>
    </row>
    <row r="19" spans="1:7" x14ac:dyDescent="0.2">
      <c r="A19" s="16" t="s">
        <v>18</v>
      </c>
      <c r="B19" s="28" t="s">
        <v>142</v>
      </c>
      <c r="C19" s="42">
        <v>1.0900000000000001</v>
      </c>
      <c r="D19" s="30">
        <v>3.0000000000000001E-3</v>
      </c>
      <c r="E19" s="28" t="s">
        <v>143</v>
      </c>
      <c r="F19" s="43" t="s">
        <v>144</v>
      </c>
      <c r="G19" s="28" t="s">
        <v>82</v>
      </c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8.83203125" defaultRowHeight="15" x14ac:dyDescent="0.2"/>
  <cols>
    <col min="1" max="1" width="8" customWidth="1"/>
    <col min="2" max="2" width="9" customWidth="1"/>
    <col min="3" max="3" width="14" customWidth="1"/>
    <col min="4" max="4" width="30" customWidth="1"/>
    <col min="5" max="5" width="45" customWidth="1"/>
    <col min="6" max="7" width="12" customWidth="1"/>
  </cols>
  <sheetData>
    <row r="1" spans="1:7" x14ac:dyDescent="0.2">
      <c r="A1" s="1" t="s">
        <v>20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 x14ac:dyDescent="0.2">
      <c r="A2" s="12" t="s">
        <v>48</v>
      </c>
      <c r="B2" s="47" t="s">
        <v>151</v>
      </c>
      <c r="C2" s="24" t="s">
        <v>152</v>
      </c>
      <c r="D2" s="24" t="s">
        <v>153</v>
      </c>
      <c r="E2" s="24" t="s">
        <v>154</v>
      </c>
      <c r="F2" s="24" t="s">
        <v>71</v>
      </c>
      <c r="G2" s="24" t="s">
        <v>155</v>
      </c>
    </row>
    <row r="3" spans="1:7" x14ac:dyDescent="0.2">
      <c r="A3" s="16" t="s">
        <v>50</v>
      </c>
      <c r="B3" s="48" t="s">
        <v>151</v>
      </c>
      <c r="C3" s="28" t="s">
        <v>156</v>
      </c>
      <c r="D3" s="28" t="s">
        <v>157</v>
      </c>
      <c r="E3" s="28" t="s">
        <v>158</v>
      </c>
      <c r="F3" s="28" t="s">
        <v>159</v>
      </c>
      <c r="G3" s="28" t="s">
        <v>160</v>
      </c>
    </row>
    <row r="4" spans="1:7" x14ac:dyDescent="0.2">
      <c r="A4" s="12" t="s">
        <v>54</v>
      </c>
      <c r="B4" s="47" t="s">
        <v>151</v>
      </c>
      <c r="C4" s="24" t="s">
        <v>161</v>
      </c>
      <c r="D4" s="24" t="s">
        <v>162</v>
      </c>
      <c r="E4" s="24" t="s">
        <v>163</v>
      </c>
      <c r="F4" s="24" t="s">
        <v>70</v>
      </c>
      <c r="G4" s="24" t="s">
        <v>164</v>
      </c>
    </row>
    <row r="5" spans="1:7" x14ac:dyDescent="0.2">
      <c r="A5" s="16" t="s">
        <v>52</v>
      </c>
      <c r="B5" s="49" t="s">
        <v>165</v>
      </c>
      <c r="C5" s="28" t="s">
        <v>166</v>
      </c>
      <c r="D5" s="28" t="s">
        <v>167</v>
      </c>
      <c r="E5" s="28" t="s">
        <v>168</v>
      </c>
      <c r="F5" s="28" t="s">
        <v>71</v>
      </c>
      <c r="G5" s="28" t="s">
        <v>155</v>
      </c>
    </row>
    <row r="6" spans="1:7" x14ac:dyDescent="0.2">
      <c r="A6" s="12" t="s">
        <v>14</v>
      </c>
      <c r="B6" s="50" t="s">
        <v>169</v>
      </c>
      <c r="C6" s="24" t="s">
        <v>170</v>
      </c>
      <c r="D6" s="24" t="s">
        <v>171</v>
      </c>
      <c r="E6" s="24" t="s">
        <v>172</v>
      </c>
      <c r="F6" s="24" t="s">
        <v>71</v>
      </c>
      <c r="G6" s="24" t="s">
        <v>155</v>
      </c>
    </row>
    <row r="7" spans="1:7" x14ac:dyDescent="0.2">
      <c r="A7" s="16" t="s">
        <v>13</v>
      </c>
      <c r="B7" s="51" t="s">
        <v>169</v>
      </c>
      <c r="C7" s="28" t="s">
        <v>173</v>
      </c>
      <c r="D7" s="28" t="s">
        <v>174</v>
      </c>
      <c r="E7" s="28" t="s">
        <v>175</v>
      </c>
      <c r="F7" s="28" t="s">
        <v>71</v>
      </c>
      <c r="G7" s="28" t="s">
        <v>155</v>
      </c>
    </row>
    <row r="8" spans="1:7" x14ac:dyDescent="0.2">
      <c r="A8" s="12" t="s">
        <v>15</v>
      </c>
      <c r="B8" s="50" t="s">
        <v>169</v>
      </c>
      <c r="C8" s="24" t="s">
        <v>176</v>
      </c>
      <c r="D8" s="24" t="s">
        <v>171</v>
      </c>
      <c r="E8" s="24" t="s">
        <v>177</v>
      </c>
      <c r="F8" s="24" t="s">
        <v>70</v>
      </c>
      <c r="G8" s="24" t="s">
        <v>164</v>
      </c>
    </row>
    <row r="10" spans="1:7" x14ac:dyDescent="0.2">
      <c r="A10" s="52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Formation Energies</vt:lpstr>
      <vt:lpstr>Reaction dG (Arithmetic)</vt:lpstr>
      <vt:lpstr>Normalization Explained</vt:lpstr>
      <vt:lpstr>Complete Screening Table</vt:lpstr>
      <vt:lpstr>Pricing &amp; SDS</vt:lpstr>
      <vt:lpstr>Moonshot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DiMascio, Anthony D.</cp:lastModifiedBy>
  <dcterms:created xsi:type="dcterms:W3CDTF">2026-03-12T23:52:46Z</dcterms:created>
  <dcterms:modified xsi:type="dcterms:W3CDTF">2026-03-13T00:50:42Z</dcterms:modified>
</cp:coreProperties>
</file>