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ion Energies" sheetId="1" state="visible" r:id="rId1"/>
    <sheet xmlns:r="http://schemas.openxmlformats.org/officeDocument/2006/relationships" name="Reaction dG (Arithmetic)" sheetId="2" state="visible" r:id="rId2"/>
    <sheet xmlns:r="http://schemas.openxmlformats.org/officeDocument/2006/relationships" name="Normalization Explained" sheetId="3" state="visible" r:id="rId3"/>
    <sheet xmlns:r="http://schemas.openxmlformats.org/officeDocument/2006/relationships" name="Complete Screening Table" sheetId="4" state="visible" r:id="rId4"/>
    <sheet xmlns:r="http://schemas.openxmlformats.org/officeDocument/2006/relationships" name="Pricing &amp; SDS" sheetId="5" state="visible" r:id="rId5"/>
    <sheet xmlns:r="http://schemas.openxmlformats.org/officeDocument/2006/relationships" name="Moonshot Candida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+#,##0.0;-#,##0.0"/>
    <numFmt numFmtId="166" formatCode="$#,##0.0000"/>
    <numFmt numFmtId="167" formatCode="$#,##0.00"/>
  </numFmts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sz val="10"/>
    </font>
    <font>
      <i val="1"/>
      <color rgb="00999999"/>
      <sz val="10"/>
    </font>
    <font>
      <b val="1"/>
      <color rgb="00595959"/>
      <sz val="12"/>
    </font>
    <font>
      <b val="1"/>
      <color rgb="0000B050"/>
      <sz val="10"/>
    </font>
    <font>
      <i val="1"/>
      <color rgb="00666666"/>
      <sz val="9"/>
    </font>
    <font>
      <b val="1"/>
      <color rgb="00FF0000"/>
      <sz val="10"/>
    </font>
    <font>
      <color rgb="000563C1"/>
      <sz val="10"/>
      <u val="single"/>
    </font>
    <font>
      <b val="1"/>
      <color rgb="00CC0000"/>
      <sz val="10"/>
    </font>
    <font>
      <b val="1"/>
      <color rgb="00EE7733"/>
      <sz val="10"/>
    </font>
    <font>
      <b val="1"/>
      <color rgb="00999999"/>
      <sz val="10"/>
    </font>
    <font>
      <i val="1"/>
      <color rgb="00CC0000"/>
      <sz val="9"/>
    </font>
  </fonts>
  <fills count="7">
    <fill>
      <patternFill/>
    </fill>
    <fill>
      <patternFill patternType="gray125"/>
    </fill>
    <fill>
      <patternFill patternType="solid">
        <fgColor rgb="00595959"/>
      </patternFill>
    </fill>
    <fill>
      <patternFill patternType="solid">
        <fgColor rgb="00FFFFFF"/>
      </patternFill>
    </fill>
    <fill>
      <patternFill patternType="solid">
        <fgColor rgb="00DCE6F1"/>
      </patternFill>
    </fill>
    <fill>
      <patternFill patternType="solid">
        <fgColor rgb="00E0E0E0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164" fontId="3" fillId="3" borderId="0" pivotButton="0" quotePrefix="0" xfId="0"/>
    <xf numFmtId="164" fontId="3" fillId="4" borderId="0" pivotButton="0" quotePrefix="0" xfId="0"/>
    <xf numFmtId="0" fontId="4" fillId="3" borderId="0" pivotButton="0" quotePrefix="0" xfId="0"/>
    <xf numFmtId="0" fontId="2" fillId="5" borderId="0" pivotButton="0" quotePrefix="0" xfId="0"/>
    <xf numFmtId="164" fontId="3" fillId="5" borderId="0" pivotButton="0" quotePrefix="0" xfId="0"/>
    <xf numFmtId="0" fontId="4" fillId="5" borderId="0" pivotButton="0" quotePrefix="0" xfId="0"/>
    <xf numFmtId="164" fontId="2" fillId="3" borderId="0" pivotButton="0" quotePrefix="0" xfId="0"/>
    <xf numFmtId="164" fontId="2" fillId="4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vertical="center" wrapText="1"/>
    </xf>
    <xf numFmtId="164" fontId="0" fillId="3" borderId="0" applyAlignment="1" pivotButton="0" quotePrefix="0" xfId="0">
      <alignment vertical="center" wrapText="1"/>
    </xf>
    <xf numFmtId="165" fontId="0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0" fillId="5" borderId="0" applyAlignment="1" pivotButton="0" quotePrefix="0" xfId="0">
      <alignment vertical="center" wrapText="1"/>
    </xf>
    <xf numFmtId="0" fontId="0" fillId="5" borderId="0" applyAlignment="1" pivotButton="0" quotePrefix="0" xfId="0">
      <alignment vertical="center" wrapText="1"/>
    </xf>
    <xf numFmtId="0" fontId="3" fillId="0" borderId="0" pivotButton="0" quotePrefix="0" xfId="0"/>
    <xf numFmtId="0" fontId="1" fillId="2" borderId="0" pivotButton="0" quotePrefix="0" xfId="0"/>
    <xf numFmtId="0" fontId="3" fillId="3" borderId="0" pivotButton="0" quotePrefix="0" xfId="0"/>
    <xf numFmtId="0" fontId="3" fillId="5" borderId="0" pivotButton="0" quotePrefix="0" xfId="0"/>
    <xf numFmtId="0" fontId="3" fillId="3" borderId="0" applyAlignment="1" pivotButton="0" quotePrefix="0" xfId="0">
      <alignment vertical="center" wrapText="1"/>
    </xf>
    <xf numFmtId="165" fontId="6" fillId="3" borderId="0" applyAlignment="1" pivotButton="0" quotePrefix="0" xfId="0">
      <alignment vertical="center" wrapText="1"/>
    </xf>
    <xf numFmtId="166" fontId="3" fillId="3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165" fontId="6" fillId="5" borderId="0" applyAlignment="1" pivotButton="0" quotePrefix="0" xfId="0">
      <alignment vertical="center" wrapText="1"/>
    </xf>
    <xf numFmtId="166" fontId="3" fillId="5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2" fillId="6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  <xf numFmtId="165" fontId="6" fillId="6" borderId="0" applyAlignment="1" pivotButton="0" quotePrefix="0" xfId="0">
      <alignment vertical="center" wrapText="1"/>
    </xf>
    <xf numFmtId="166" fontId="3" fillId="6" borderId="0" applyAlignment="1" pivotButton="0" quotePrefix="0" xfId="0">
      <alignment vertical="center" wrapText="1"/>
    </xf>
    <xf numFmtId="0" fontId="7" fillId="6" borderId="0" applyAlignment="1" pivotButton="0" quotePrefix="0" xfId="0">
      <alignment vertical="center" wrapText="1"/>
    </xf>
    <xf numFmtId="165" fontId="8" fillId="6" borderId="0" applyAlignment="1" pivotButton="0" quotePrefix="0" xfId="0">
      <alignment vertical="center" wrapText="1"/>
    </xf>
    <xf numFmtId="165" fontId="8" fillId="5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167" fontId="3" fillId="3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7" fontId="3" fillId="5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center" wrapText="1"/>
    </xf>
    <xf numFmtId="167" fontId="3" fillId="6" borderId="0" applyAlignment="1" pivotButton="0" quotePrefix="0" xfId="0">
      <alignment vertical="center" wrapText="1"/>
    </xf>
    <xf numFmtId="0" fontId="9" fillId="6" borderId="0" applyAlignment="1" pivotButton="0" quotePrefix="0" xfId="0">
      <alignment vertical="center" wrapText="1"/>
    </xf>
    <xf numFmtId="0" fontId="10" fillId="6" borderId="0" applyAlignment="1" pivotButton="0" quotePrefix="0" xfId="0">
      <alignment vertical="center" wrapText="1"/>
    </xf>
    <xf numFmtId="0" fontId="6" fillId="3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2" fillId="5" borderId="0" applyAlignment="1" pivotButton="0" quotePrefix="0" xfId="0">
      <alignment vertical="center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sigmaaldrich.com/US/en/product/aldrich/211575" TargetMode="External" Id="rId1"/><Relationship Type="http://schemas.openxmlformats.org/officeDocument/2006/relationships/hyperlink" Target="https://www.sigmaaldrich.com/US/en/product/aldrich/248568" TargetMode="External" Id="rId2"/><Relationship Type="http://schemas.openxmlformats.org/officeDocument/2006/relationships/hyperlink" Target="https://www.sigmaaldrich.com/US/en/product/aldrich/L4000" TargetMode="External" Id="rId3"/><Relationship Type="http://schemas.openxmlformats.org/officeDocument/2006/relationships/hyperlink" Target="https://www.sigmaaldrich.com/US/en/product/aldrich/529699" TargetMode="External" Id="rId4"/><Relationship Type="http://schemas.openxmlformats.org/officeDocument/2006/relationships/hyperlink" Target="https://www.sigmaaldrich.com/US/en/product/aldrich/230693" TargetMode="External" Id="rId5"/><Relationship Type="http://schemas.openxmlformats.org/officeDocument/2006/relationships/hyperlink" Target="https://www.sigmaaldrich.com/US/en/product/aldrich/11028" TargetMode="External" Id="rId6"/><Relationship Type="http://schemas.openxmlformats.org/officeDocument/2006/relationships/hyperlink" Target="https://www.sigmaaldrich.com/US/en/product/aldrich/14021" TargetMode="External" Id="rId7"/><Relationship Type="http://schemas.openxmlformats.org/officeDocument/2006/relationships/hyperlink" Target="https://www.sigmaaldrich.com/US/en/product/aldrich/637238" TargetMode="External" Id="rId8"/><Relationship Type="http://schemas.openxmlformats.org/officeDocument/2006/relationships/hyperlink" Target="https://www.sigmaaldrich.com/US/en/product/aldrich/377201" TargetMode="External" Id="rId9"/><Relationship Type="http://schemas.openxmlformats.org/officeDocument/2006/relationships/hyperlink" Target="https://www.sigmaaldrich.com/US/en/product/aldrich/393703" TargetMode="External" Id="rId10"/><Relationship Type="http://schemas.openxmlformats.org/officeDocument/2006/relationships/hyperlink" Target="https://www.sigmaaldrich.com/US/en/product/aldrich/221899" TargetMode="External" Id="rId11"/><Relationship Type="http://schemas.openxmlformats.org/officeDocument/2006/relationships/hyperlink" Target="https://www.sigmaaldrich.com/US/en/product/aldrich/400866" TargetMode="External" Id="rId12"/><Relationship Type="http://schemas.openxmlformats.org/officeDocument/2006/relationships/hyperlink" Target="https://www.sigmaaldrich.com/US/en/product/aldrich/529443" TargetMode="External" Id="rId13"/><Relationship Type="http://schemas.openxmlformats.org/officeDocument/2006/relationships/hyperlink" Target="https://www.sigmaaldrich.com/US/en/product/aldrich/203882" TargetMode="External" Id="rId14"/><Relationship Type="http://schemas.openxmlformats.org/officeDocument/2006/relationships/hyperlink" Target="https://www.sigmaaldrich.com/US/en/product/aldrich/211907" TargetMode="External" Id="rId15"/><Relationship Type="http://schemas.openxmlformats.org/officeDocument/2006/relationships/hyperlink" Target="https://www.sigmaaldrich.com/US/en/product/aldrich/208825" TargetMode="External" Id="rId16"/><Relationship Type="http://schemas.openxmlformats.org/officeDocument/2006/relationships/hyperlink" Target="https://www.sigmaaldrich.com/US/en/product/aldrich/208841" TargetMode="External" Id="rId17"/><Relationship Type="http://schemas.openxmlformats.org/officeDocument/2006/relationships/hyperlink" Target="https://www.sigmaaldrich.com/US/en/product/aldrich/339075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" t="inlineStr">
        <is>
          <t>T (K)</t>
        </is>
      </c>
      <c r="B1" s="1" t="inlineStr">
        <is>
          <t>CeO2</t>
        </is>
      </c>
      <c r="C1" s="1" t="inlineStr">
        <is>
          <t>CaO</t>
        </is>
      </c>
      <c r="D1" s="1" t="inlineStr">
        <is>
          <t>La2O3</t>
        </is>
      </c>
      <c r="E1" s="1" t="inlineStr">
        <is>
          <t>MgO</t>
        </is>
      </c>
      <c r="F1" s="1" t="inlineStr">
        <is>
          <t>ZrO2</t>
        </is>
      </c>
      <c r="G1" s="1" t="inlineStr">
        <is>
          <t>Al2O3</t>
        </is>
      </c>
      <c r="H1" s="1" t="inlineStr">
        <is>
          <t>TiO2</t>
        </is>
      </c>
      <c r="I1" s="1" t="inlineStr">
        <is>
          <t>SiO2</t>
        </is>
      </c>
      <c r="J1" s="1" t="inlineStr">
        <is>
          <t>MnO</t>
        </is>
      </c>
      <c r="K1" s="1" t="inlineStr">
        <is>
          <t>Cr2O3</t>
        </is>
      </c>
      <c r="L1" s="1" t="inlineStr">
        <is>
          <t>V2O5</t>
        </is>
      </c>
      <c r="M1" s="1" t="inlineStr">
        <is>
          <t>FeO</t>
        </is>
      </c>
      <c r="N1" s="1" t="inlineStr">
        <is>
          <t>CoO</t>
        </is>
      </c>
      <c r="O1" s="1" t="inlineStr">
        <is>
          <t>NiO</t>
        </is>
      </c>
      <c r="P1" s="1" t="inlineStr">
        <is>
          <t>PbO</t>
        </is>
      </c>
      <c r="Q1" s="1" t="inlineStr">
        <is>
          <t>Cu2O</t>
        </is>
      </c>
      <c r="R1" s="1" t="inlineStr">
        <is>
          <t>CuO</t>
        </is>
      </c>
      <c r="S1" s="1" t="inlineStr">
        <is>
          <t>B2O3</t>
        </is>
      </c>
    </row>
    <row r="2">
      <c r="A2" s="2" t="n">
        <v>500</v>
      </c>
      <c r="B2" s="3" t="n">
        <v>-1125.2607413</v>
      </c>
      <c r="C2" s="3" t="n">
        <v>-1164.141179806975</v>
      </c>
      <c r="D2" s="3" t="n">
        <v>-1096.880856489568</v>
      </c>
      <c r="E2" s="3" t="n">
        <v>-1094.868809058626</v>
      </c>
      <c r="F2" s="3" t="n">
        <v>-1003.525437670866</v>
      </c>
      <c r="G2" s="3" t="n">
        <v>-1012.426164584838</v>
      </c>
      <c r="H2" s="3" t="n">
        <v>-849.7742144110431</v>
      </c>
      <c r="I2" s="3" t="n">
        <v>-819.375349135429</v>
      </c>
      <c r="J2" s="3" t="n">
        <v>-698.1010619575384</v>
      </c>
      <c r="K2" s="3" t="n">
        <v>-662.3491059079463</v>
      </c>
      <c r="L2" s="3" t="n">
        <v>-531.8961575942153</v>
      </c>
      <c r="M2" s="3" t="n">
        <v>-472.0816102891535</v>
      </c>
      <c r="N2" s="3" t="n">
        <v>-396.6144937030109</v>
      </c>
      <c r="O2" s="3" t="n">
        <v>-385.7729521193622</v>
      </c>
      <c r="P2" s="3" t="n">
        <v>-127.614513</v>
      </c>
      <c r="Q2" s="4" t="n">
        <v>-264.4117348070324</v>
      </c>
      <c r="R2" s="3" t="n">
        <v>-218.3390986801547</v>
      </c>
      <c r="S2" s="5" t="n"/>
    </row>
    <row r="3">
      <c r="A3" s="6" t="n">
        <v>550</v>
      </c>
      <c r="B3" s="7" t="n">
        <v>-1130.2784682</v>
      </c>
      <c r="C3" s="7" t="n">
        <v>-1153.79112907884</v>
      </c>
      <c r="D3" s="7" t="n">
        <v>-1087.389015081061</v>
      </c>
      <c r="E3" s="7" t="n">
        <v>-1084.110250685757</v>
      </c>
      <c r="F3" s="7" t="n">
        <v>-993.9674846907884</v>
      </c>
      <c r="G3" s="7" t="n">
        <v>-1001.9491920205</v>
      </c>
      <c r="H3" s="7" t="n">
        <v>-840.666353980547</v>
      </c>
      <c r="I3" s="7" t="n">
        <v>-810.2816263674711</v>
      </c>
      <c r="J3" s="7" t="n">
        <v>-690.7300662789739</v>
      </c>
      <c r="K3" s="7" t="n">
        <v>-653.5691729165652</v>
      </c>
      <c r="L3" s="7" t="n">
        <v>-523.2056420731022</v>
      </c>
      <c r="M3" s="7" t="n">
        <v>-463.8540348735086</v>
      </c>
      <c r="N3" s="7" t="n">
        <v>-389.3290418783677</v>
      </c>
      <c r="O3" s="7" t="n">
        <v>-376.8156567235475</v>
      </c>
      <c r="P3" s="7" t="n">
        <v>-129.9993152</v>
      </c>
      <c r="Q3" s="4" t="n">
        <v>-256.8946403784398</v>
      </c>
      <c r="R3" s="7" t="n">
        <v>-209.4217687349332</v>
      </c>
      <c r="S3" s="8" t="n"/>
    </row>
    <row r="4">
      <c r="A4" s="2" t="n">
        <v>600</v>
      </c>
      <c r="B4" s="3" t="n">
        <v>-1135.6250341</v>
      </c>
      <c r="C4" s="3" t="n">
        <v>-1143.485542743853</v>
      </c>
      <c r="D4" s="3" t="n">
        <v>-1077.915831062742</v>
      </c>
      <c r="E4" s="3" t="n">
        <v>-1073.379627300538</v>
      </c>
      <c r="F4" s="3" t="n">
        <v>-984.4488682732865</v>
      </c>
      <c r="G4" s="3" t="n">
        <v>-991.4938923076662</v>
      </c>
      <c r="H4" s="3" t="n">
        <v>-831.5991181288656</v>
      </c>
      <c r="I4" s="3" t="n">
        <v>-801.2218584185616</v>
      </c>
      <c r="J4" s="3" t="n">
        <v>-683.3844487253552</v>
      </c>
      <c r="K4" s="3" t="n">
        <v>-644.8458599505425</v>
      </c>
      <c r="L4" s="3" t="n">
        <v>-514.5570245396325</v>
      </c>
      <c r="M4" s="3" t="n">
        <v>-455.7262982755903</v>
      </c>
      <c r="N4" s="3" t="n">
        <v>-382.113932335748</v>
      </c>
      <c r="O4" s="3" t="n">
        <v>-367.9319312153344</v>
      </c>
      <c r="P4" s="3" t="n">
        <v>-132.5022229</v>
      </c>
      <c r="Q4" s="4" t="n">
        <v>-249.4123712642884</v>
      </c>
      <c r="R4" s="3" t="n">
        <v>-200.5772975969447</v>
      </c>
      <c r="S4" s="3" t="n">
        <v>-742.8446124917198</v>
      </c>
    </row>
    <row r="5">
      <c r="A5" s="6" t="n">
        <v>650</v>
      </c>
      <c r="B5" s="7" t="n">
        <v>-1141.2772689</v>
      </c>
      <c r="C5" s="7" t="n">
        <v>-1133.21575808128</v>
      </c>
      <c r="D5" s="7" t="n">
        <v>-1068.500946905246</v>
      </c>
      <c r="E5" s="7" t="n">
        <v>-1062.674659626855</v>
      </c>
      <c r="F5" s="7" t="n">
        <v>-974.9668728833497</v>
      </c>
      <c r="G5" s="7" t="n">
        <v>-981.0612322592037</v>
      </c>
      <c r="H5" s="7" t="n">
        <v>-822.5700320089999</v>
      </c>
      <c r="I5" s="7" t="n">
        <v>-792.1966261426844</v>
      </c>
      <c r="J5" s="7" t="n">
        <v>-676.0583836751438</v>
      </c>
      <c r="K5" s="7" t="n">
        <v>-636.1736998601818</v>
      </c>
      <c r="L5" s="7" t="n">
        <v>-505.948469524008</v>
      </c>
      <c r="M5" s="7" t="n">
        <v>-447.6994394998113</v>
      </c>
      <c r="N5" s="7" t="n">
        <v>-374.9608907966359</v>
      </c>
      <c r="O5" s="7" t="n">
        <v>-359.0727636258053</v>
      </c>
      <c r="P5" s="7" t="n">
        <v>-135.1171121</v>
      </c>
      <c r="Q5" s="4" t="n">
        <v>-241.9653106573964</v>
      </c>
      <c r="R5" s="7" t="n">
        <v>-191.8015993565031</v>
      </c>
      <c r="S5" s="8" t="n"/>
    </row>
    <row r="6">
      <c r="A6" s="2" t="n">
        <v>700</v>
      </c>
      <c r="B6" s="3" t="n">
        <v>-1147.2151009</v>
      </c>
      <c r="C6" s="3" t="n">
        <v>-1122.973449361115</v>
      </c>
      <c r="D6" s="3" t="n">
        <v>-1059.138471945404</v>
      </c>
      <c r="E6" s="3" t="n">
        <v>-1051.992388473583</v>
      </c>
      <c r="F6" s="3" t="n">
        <v>-965.5187126984988</v>
      </c>
      <c r="G6" s="3" t="n">
        <v>-970.6507775641849</v>
      </c>
      <c r="H6" s="3" t="n">
        <v>-813.5762657598908</v>
      </c>
      <c r="I6" s="3" t="n">
        <v>-783.2060317779519</v>
      </c>
      <c r="J6" s="3" t="n">
        <v>-668.746787691328</v>
      </c>
      <c r="K6" s="3" t="n">
        <v>-627.5474536449356</v>
      </c>
      <c r="L6" s="3" t="n">
        <v>-497.3786108329408</v>
      </c>
      <c r="M6" s="3" t="n">
        <v>-439.7756342468139</v>
      </c>
      <c r="N6" s="3" t="n">
        <v>-367.856369223942</v>
      </c>
      <c r="O6" s="3" t="n">
        <v>-350.2534731066532</v>
      </c>
      <c r="P6" s="3" t="n">
        <v>-137.8461756</v>
      </c>
      <c r="Q6" s="4" t="n">
        <v>-234.5534540376007</v>
      </c>
      <c r="R6" s="3" t="n">
        <v>-183.0907344306337</v>
      </c>
      <c r="S6" s="5" t="n"/>
    </row>
    <row r="7">
      <c r="A7" s="6" t="n">
        <v>750</v>
      </c>
      <c r="B7" s="7" t="n">
        <v>-1153.4210133</v>
      </c>
      <c r="C7" s="7" t="n">
        <v>-1112.664556625759</v>
      </c>
      <c r="D7" s="7" t="n">
        <v>-1049.823121641716</v>
      </c>
      <c r="E7" s="7" t="n">
        <v>-1041.329566068756</v>
      </c>
      <c r="F7" s="7" t="n">
        <v>-956.1017379985786</v>
      </c>
      <c r="G7" s="7" t="n">
        <v>-960.2613248560313</v>
      </c>
      <c r="H7" s="7" t="n">
        <v>-804.6149359674729</v>
      </c>
      <c r="I7" s="7" t="n">
        <v>-774.2524847274032</v>
      </c>
      <c r="J7" s="7" t="n">
        <v>-661.4452662518702</v>
      </c>
      <c r="K7" s="7" t="n">
        <v>-618.9622320667414</v>
      </c>
      <c r="L7" s="7" t="n">
        <v>-488.846660083701</v>
      </c>
      <c r="M7" s="7" t="n">
        <v>-431.9592692429565</v>
      </c>
      <c r="N7" s="7" t="n">
        <v>-360.7447091000522</v>
      </c>
      <c r="O7" s="7" t="n">
        <v>-341.4866694922447</v>
      </c>
      <c r="P7" s="7" t="n">
        <v>-140.6711537</v>
      </c>
      <c r="Q7" s="4" t="n">
        <v>-227.176657756073</v>
      </c>
      <c r="R7" s="7" t="n">
        <v>-174.4410756765355</v>
      </c>
      <c r="S7" s="7" t="n">
        <v>-717.2187248765958</v>
      </c>
    </row>
    <row r="8">
      <c r="A8" s="2" t="n">
        <v>800</v>
      </c>
      <c r="B8" s="3" t="n">
        <v>-1159.8796091</v>
      </c>
      <c r="C8" s="3" t="n">
        <v>-1102.333145954667</v>
      </c>
      <c r="D8" s="3" t="n">
        <v>-1040.550209556174</v>
      </c>
      <c r="E8" s="3" t="n">
        <v>-1030.682836058292</v>
      </c>
      <c r="F8" s="3" t="n">
        <v>-946.7134960123775</v>
      </c>
      <c r="G8" s="3" t="n">
        <v>-949.8908997098347</v>
      </c>
      <c r="H8" s="3" t="n">
        <v>-795.6832352456335</v>
      </c>
      <c r="I8" s="3" t="n">
        <v>-765.3421189321248</v>
      </c>
      <c r="J8" s="3" t="n">
        <v>-654.1500108082586</v>
      </c>
      <c r="K8" s="3" t="n">
        <v>-610.4135088474738</v>
      </c>
      <c r="L8" s="3" t="n">
        <v>-480.3523900410368</v>
      </c>
      <c r="M8" s="3" t="n">
        <v>-424.2585981843706</v>
      </c>
      <c r="N8" s="3" t="n">
        <v>-353.6753220839947</v>
      </c>
      <c r="O8" s="3" t="n">
        <v>-332.7708528892435</v>
      </c>
      <c r="P8" s="3" t="n">
        <v>-143.586873</v>
      </c>
      <c r="Q8" s="4" t="n">
        <v>-219.8347384421624</v>
      </c>
      <c r="R8" s="3" t="n">
        <v>-165.8493377306139</v>
      </c>
      <c r="S8" s="5" t="n"/>
    </row>
    <row r="9">
      <c r="A9" s="6" t="n">
        <v>850</v>
      </c>
      <c r="B9" s="7" t="n">
        <v>-1166.5772629</v>
      </c>
      <c r="C9" s="7" t="n">
        <v>-1092.01217103696</v>
      </c>
      <c r="D9" s="7" t="n">
        <v>-1031.315574155953</v>
      </c>
      <c r="E9" s="7" t="n">
        <v>-1020.048830254762</v>
      </c>
      <c r="F9" s="7" t="n">
        <v>-937.3517480860364</v>
      </c>
      <c r="G9" s="7" t="n">
        <v>-939.5367601203963</v>
      </c>
      <c r="H9" s="7" t="n">
        <v>-786.7784973923026</v>
      </c>
      <c r="I9" s="7" t="n">
        <v>-756.4873440110388</v>
      </c>
      <c r="J9" s="7" t="n">
        <v>-646.8577094091545</v>
      </c>
      <c r="K9" s="7" t="n">
        <v>-601.8971073716683</v>
      </c>
      <c r="L9" s="7" t="n">
        <v>-471.8960657998842</v>
      </c>
      <c r="M9" s="7" t="n">
        <v>-431.6250790769694</v>
      </c>
      <c r="N9" s="7" t="n">
        <v>-346.6426963866058</v>
      </c>
      <c r="O9" s="7" t="n">
        <v>-324.1030143288093</v>
      </c>
      <c r="P9" s="7" t="n">
        <v>-146.588787</v>
      </c>
      <c r="Q9" s="4" t="n">
        <v>-212.5275232743336</v>
      </c>
      <c r="R9" s="7" t="n">
        <v>-157.3125692047417</v>
      </c>
      <c r="S9" s="8" t="n"/>
    </row>
    <row r="10">
      <c r="A10" s="2" t="n">
        <v>900</v>
      </c>
      <c r="B10" s="3" t="n">
        <v>-1173.501841</v>
      </c>
      <c r="C10" s="3" t="n">
        <v>-1081.69332746719</v>
      </c>
      <c r="D10" s="3" t="n">
        <v>-1022.115510871116</v>
      </c>
      <c r="E10" s="3" t="n">
        <v>-1009.424221961513</v>
      </c>
      <c r="F10" s="3" t="n">
        <v>-928.0144681808216</v>
      </c>
      <c r="G10" s="3" t="n">
        <v>-929.195593080287</v>
      </c>
      <c r="H10" s="3" t="n">
        <v>-777.8982285096878</v>
      </c>
      <c r="I10" s="3" t="n">
        <v>-747.6980094161012</v>
      </c>
      <c r="J10" s="3" t="n">
        <v>-639.5654742815101</v>
      </c>
      <c r="K10" s="3" t="n">
        <v>-593.4091776219949</v>
      </c>
      <c r="L10" s="3" t="n">
        <v>-463.4783240199733</v>
      </c>
      <c r="M10" s="3" t="n">
        <v>-424.6446796066475</v>
      </c>
      <c r="N10" s="3" t="n">
        <v>-339.6414795234179</v>
      </c>
      <c r="O10" s="3" t="n">
        <v>-315.4796994812547</v>
      </c>
      <c r="P10" s="3" t="n">
        <v>-149.6728699</v>
      </c>
      <c r="Q10" s="4" t="n">
        <v>-205.2548756863689</v>
      </c>
      <c r="R10" s="3" t="n">
        <v>-148.8281309198378</v>
      </c>
      <c r="S10" s="5" t="n"/>
    </row>
    <row r="11">
      <c r="A11" s="6" t="n">
        <v>950</v>
      </c>
      <c r="B11" s="7" t="n">
        <v>-1180.642476</v>
      </c>
      <c r="C11" s="7" t="n">
        <v>-1071.368995372135</v>
      </c>
      <c r="D11" s="7" t="n">
        <v>-1012.946711086136</v>
      </c>
      <c r="E11" s="7" t="n">
        <v>-998.3083973475026</v>
      </c>
      <c r="F11" s="7" t="n">
        <v>-918.6998323957231</v>
      </c>
      <c r="G11" s="7" t="n">
        <v>-918.6133993408466</v>
      </c>
      <c r="H11" s="7" t="n">
        <v>-769.0401076424101</v>
      </c>
      <c r="I11" s="7" t="n">
        <v>-738.930171565416</v>
      </c>
      <c r="J11" s="7" t="n">
        <v>-632.2707847160489</v>
      </c>
      <c r="K11" s="7" t="n">
        <v>-584.9461692947817</v>
      </c>
      <c r="L11" s="7" t="n">
        <v>-455.1001626122695</v>
      </c>
      <c r="M11" s="7" t="n">
        <v>-417.8659916744317</v>
      </c>
      <c r="N11" s="7" t="n">
        <v>-332.666484668829</v>
      </c>
      <c r="O11" s="7" t="n">
        <v>-306.8973452939566</v>
      </c>
      <c r="P11" s="7" t="n">
        <v>-152.8355326</v>
      </c>
      <c r="Q11" s="4" t="n">
        <v>-198.0167060812398</v>
      </c>
      <c r="R11" s="7" t="n">
        <v>-140.3936683362643</v>
      </c>
      <c r="S11" s="8" t="n"/>
    </row>
    <row r="12">
      <c r="A12" s="2" t="n">
        <v>1000</v>
      </c>
      <c r="B12" s="9" t="n">
        <v>-1187.9893828</v>
      </c>
      <c r="C12" s="9" t="n">
        <v>-1061.032190777266</v>
      </c>
      <c r="D12" s="9" t="n">
        <v>-1003.806208313801</v>
      </c>
      <c r="E12" s="9" t="n">
        <v>-986.7655943381806</v>
      </c>
      <c r="F12" s="9" t="n">
        <v>-909.4062045265249</v>
      </c>
      <c r="G12" s="9" t="n">
        <v>-907.5302836892618</v>
      </c>
      <c r="H12" s="9" t="n">
        <v>-760.2019187277922</v>
      </c>
      <c r="I12" s="9" t="n">
        <v>-730.1826522841465</v>
      </c>
      <c r="J12" s="9" t="n">
        <v>-624.8801080249299</v>
      </c>
      <c r="K12" s="9" t="n">
        <v>-576.5062479000309</v>
      </c>
      <c r="L12" s="9" t="n">
        <v>-448.031628882776</v>
      </c>
      <c r="M12" s="9" t="n">
        <v>-411.1915962113269</v>
      </c>
      <c r="N12" s="9" t="n">
        <v>-325.7126099730885</v>
      </c>
      <c r="O12" s="9" t="n">
        <v>-298.3538589737009</v>
      </c>
      <c r="P12" s="9" t="n">
        <v>-156.0735557</v>
      </c>
      <c r="Q12" s="10" t="n">
        <v>-190.812972360312</v>
      </c>
      <c r="R12" s="9" t="n">
        <v>-132.0070818587054</v>
      </c>
      <c r="S12" s="5" t="n"/>
    </row>
    <row r="13">
      <c r="A13" s="6" t="n">
        <v>1050</v>
      </c>
      <c r="B13" s="7" t="n">
        <v>-1195.5337075</v>
      </c>
      <c r="C13" s="7" t="n">
        <v>-1050.676509560852</v>
      </c>
      <c r="D13" s="7" t="n">
        <v>-994.6913280649406</v>
      </c>
      <c r="E13" s="7" t="n">
        <v>-975.2181958668534</v>
      </c>
      <c r="F13" s="7" t="n">
        <v>-900.1321171396572</v>
      </c>
      <c r="G13" s="7" t="n">
        <v>-896.4621221181894</v>
      </c>
      <c r="H13" s="7" t="n">
        <v>-751.3815925329869</v>
      </c>
      <c r="I13" s="7" t="n">
        <v>-721.4544817438018</v>
      </c>
      <c r="J13" s="7" t="n">
        <v>-617.3515330102924</v>
      </c>
      <c r="K13" s="7" t="n">
        <v>-568.0835693983864</v>
      </c>
      <c r="L13" s="7" t="n">
        <v>-441.1069756229094</v>
      </c>
      <c r="M13" s="7" t="n">
        <v>-404.558002874054</v>
      </c>
      <c r="N13" s="7" t="n">
        <v>-318.7747521430898</v>
      </c>
      <c r="O13" s="7" t="n">
        <v>-289.8429607644351</v>
      </c>
      <c r="P13" s="7" t="n">
        <v>-159.3840359</v>
      </c>
      <c r="Q13" s="4" t="n">
        <v>-183.6436693982247</v>
      </c>
      <c r="R13" s="7" t="n">
        <v>-123.6664933288134</v>
      </c>
      <c r="S13" s="8" t="n"/>
    </row>
    <row r="14">
      <c r="A14" s="2" t="n">
        <v>1100</v>
      </c>
      <c r="B14" s="3" t="n">
        <v>-1203.2674029</v>
      </c>
      <c r="C14" s="3" t="n">
        <v>-1040.296060659382</v>
      </c>
      <c r="D14" s="3" t="n">
        <v>-985.5996328274326</v>
      </c>
      <c r="E14" s="3" t="n">
        <v>-963.6673189508429</v>
      </c>
      <c r="F14" s="3" t="n">
        <v>-890.8762415191179</v>
      </c>
      <c r="G14" s="3" t="n">
        <v>-885.4091656698369</v>
      </c>
      <c r="H14" s="3" t="n">
        <v>-742.5772110825808</v>
      </c>
      <c r="I14" s="3" t="n">
        <v>-712.7448474762056</v>
      </c>
      <c r="J14" s="3" t="n">
        <v>-609.8230556504645</v>
      </c>
      <c r="K14" s="3" t="n">
        <v>-559.6766572897432</v>
      </c>
      <c r="L14" s="3" t="n">
        <v>-434.2374399047546</v>
      </c>
      <c r="M14" s="3" t="n">
        <v>-397.9399279564631</v>
      </c>
      <c r="N14" s="3" t="n">
        <v>-311.8476977781302</v>
      </c>
      <c r="O14" s="3" t="n">
        <v>-281.3628544498235</v>
      </c>
      <c r="P14" s="3" t="n">
        <v>-162.7643416</v>
      </c>
      <c r="Q14" s="4" t="n">
        <v>-176.5088004359286</v>
      </c>
      <c r="R14" s="3" t="n">
        <v>-115.3702010870282</v>
      </c>
      <c r="S14" s="5" t="n"/>
    </row>
    <row r="15">
      <c r="A15" s="6" t="n">
        <v>1150</v>
      </c>
      <c r="B15" s="7" t="n">
        <v>-1211.1831246</v>
      </c>
      <c r="C15" s="7" t="n">
        <v>-1029.349844071464</v>
      </c>
      <c r="D15" s="7" t="n">
        <v>-976.4757935534698</v>
      </c>
      <c r="E15" s="7" t="n">
        <v>-952.1139565184045</v>
      </c>
      <c r="F15" s="7" t="n">
        <v>-881.5990149901322</v>
      </c>
      <c r="G15" s="7" t="n">
        <v>-874.3715914609128</v>
      </c>
      <c r="H15" s="7" t="n">
        <v>-733.7870033740666</v>
      </c>
      <c r="I15" s="7" t="n">
        <v>-704.0666172498948</v>
      </c>
      <c r="J15" s="7" t="n">
        <v>-602.2934959388349</v>
      </c>
      <c r="K15" s="7" t="n">
        <v>-551.2828346411574</v>
      </c>
      <c r="L15" s="7" t="n">
        <v>-427.4260358342286</v>
      </c>
      <c r="M15" s="7" t="n">
        <v>-391.340793896199</v>
      </c>
      <c r="N15" s="7" t="n">
        <v>-304.9260094766646</v>
      </c>
      <c r="O15" s="7" t="n">
        <v>-272.9109640516007</v>
      </c>
      <c r="P15" s="7" t="n">
        <v>-166.2120767</v>
      </c>
      <c r="Q15" s="4" t="n">
        <v>-169.4083592999534</v>
      </c>
      <c r="R15" s="7" t="n">
        <v>-107.1166520199184</v>
      </c>
      <c r="S15" s="8" t="n"/>
    </row>
    <row r="16">
      <c r="A16" s="2" t="n">
        <v>1200</v>
      </c>
      <c r="B16" s="3" t="n">
        <v>-1219.2741444</v>
      </c>
      <c r="C16" s="3" t="n">
        <v>-1018.185349071934</v>
      </c>
      <c r="D16" s="3" t="n">
        <v>-967.1799516339304</v>
      </c>
      <c r="E16" s="3" t="n">
        <v>-940.5589978757731</v>
      </c>
      <c r="F16" s="3" t="n">
        <v>-872.2056841162969</v>
      </c>
      <c r="G16" s="3" t="n">
        <v>-863.3495201288297</v>
      </c>
      <c r="H16" s="3" t="n">
        <v>-724.8522415709796</v>
      </c>
      <c r="I16" s="3" t="n">
        <v>-695.4886526357066</v>
      </c>
      <c r="J16" s="3" t="n">
        <v>-594.7618303288133</v>
      </c>
      <c r="K16" s="3" t="n">
        <v>-542.8995602972473</v>
      </c>
      <c r="L16" s="3" t="n">
        <v>-420.6772522683015</v>
      </c>
      <c r="M16" s="3" t="n">
        <v>-384.7447668871757</v>
      </c>
      <c r="N16" s="3" t="n">
        <v>-298.0038700518592</v>
      </c>
      <c r="O16" s="3" t="n">
        <v>-264.4849606501548</v>
      </c>
      <c r="P16" s="3" t="n">
        <v>-170.1424114</v>
      </c>
      <c r="Q16" s="4" t="n">
        <v>-162.3423017689335</v>
      </c>
      <c r="R16" s="3" t="n">
        <v>-98.9044084007314</v>
      </c>
      <c r="S16" s="5" t="n"/>
    </row>
    <row r="17">
      <c r="A17" s="6" t="n">
        <v>1250</v>
      </c>
      <c r="B17" s="7" t="n">
        <v>-1227.5342763</v>
      </c>
      <c r="C17" s="7" t="n">
        <v>-1007.026249047915</v>
      </c>
      <c r="D17" s="7" t="n">
        <v>-957.6049808379371</v>
      </c>
      <c r="E17" s="7" t="n">
        <v>-929.0032426365901</v>
      </c>
      <c r="F17" s="7" t="n">
        <v>-862.8409579913871</v>
      </c>
      <c r="G17" s="7" t="n">
        <v>-852.3430266287889</v>
      </c>
      <c r="H17" s="7" t="n">
        <v>-715.9203927170057</v>
      </c>
      <c r="I17" s="7" t="n">
        <v>-686.9256010280642</v>
      </c>
      <c r="J17" s="7" t="n">
        <v>-587.2271724743134</v>
      </c>
      <c r="K17" s="7" t="n">
        <v>-534.5244042957721</v>
      </c>
      <c r="L17" s="7" t="n">
        <v>-413.9968865610162</v>
      </c>
      <c r="M17" s="7" t="n">
        <v>-378.1411036633655</v>
      </c>
      <c r="N17" s="7" t="n">
        <v>-291.0748690453203</v>
      </c>
      <c r="O17" s="7" t="n">
        <v>-256.0828501645379</v>
      </c>
      <c r="P17" s="7" t="n">
        <v>-174.2809737</v>
      </c>
      <c r="Q17" s="4" t="n">
        <v>-155.3105105251452</v>
      </c>
      <c r="R17" s="7" t="n">
        <v>-90.73211333849275</v>
      </c>
      <c r="S17" s="8" t="n"/>
    </row>
    <row r="18">
      <c r="A18" s="2" t="n">
        <v>1300</v>
      </c>
      <c r="B18" s="3" t="n">
        <v>-1235.9578145</v>
      </c>
      <c r="C18" s="3" t="n">
        <v>-995.8726874231089</v>
      </c>
      <c r="D18" s="3" t="n">
        <v>-948.0519389943232</v>
      </c>
      <c r="E18" s="3" t="n">
        <v>-917.4474120416528</v>
      </c>
      <c r="F18" s="3" t="n">
        <v>-853.503760590175</v>
      </c>
      <c r="G18" s="3" t="n">
        <v>-841.3521485045702</v>
      </c>
      <c r="H18" s="3" t="n">
        <v>-707.0091393763704</v>
      </c>
      <c r="I18" s="3" t="n">
        <v>-678.3764392309967</v>
      </c>
      <c r="J18" s="3" t="n">
        <v>-579.6887569988256</v>
      </c>
      <c r="K18" s="3" t="n">
        <v>-526.1550281236973</v>
      </c>
      <c r="L18" s="3" t="n">
        <v>-407.391773440496</v>
      </c>
      <c r="M18" s="3" t="n">
        <v>-371.5716543054588</v>
      </c>
      <c r="N18" s="3" t="n">
        <v>-284.1317067971565</v>
      </c>
      <c r="O18" s="3" t="n">
        <v>-247.702959971389</v>
      </c>
      <c r="P18" s="3" t="n">
        <v>-178.4845533</v>
      </c>
      <c r="Q18" s="4" t="n">
        <v>-148.3131812296649</v>
      </c>
      <c r="R18" s="3" t="n">
        <v>-82.59866951158411</v>
      </c>
      <c r="S18" s="5" t="n"/>
    </row>
    <row r="19">
      <c r="A19" s="6" t="n">
        <v>1350</v>
      </c>
      <c r="B19" s="7" t="n">
        <v>-1244.5394801</v>
      </c>
      <c r="C19" s="7" t="n">
        <v>-984.7247914787575</v>
      </c>
      <c r="D19" s="7" t="n">
        <v>-938.520948691001</v>
      </c>
      <c r="E19" s="7" t="n">
        <v>-905.8921581485423</v>
      </c>
      <c r="F19" s="7" t="n">
        <v>-844.1930667342027</v>
      </c>
      <c r="G19" s="7" t="n">
        <v>-830.3768922205633</v>
      </c>
      <c r="H19" s="7" t="n">
        <v>-698.1171215170929</v>
      </c>
      <c r="I19" s="7" t="n">
        <v>-669.8402936132454</v>
      </c>
      <c r="J19" s="7" t="n">
        <v>-572.1459252847477</v>
      </c>
      <c r="K19" s="7" t="n">
        <v>-517.7891685165482</v>
      </c>
      <c r="L19" s="7" t="n">
        <v>-400.8694132867502</v>
      </c>
      <c r="M19" s="7" t="n">
        <v>-365.0349960345919</v>
      </c>
      <c r="N19" s="7" t="n">
        <v>-277.1657775483457</v>
      </c>
      <c r="O19" s="7" t="n">
        <v>-239.3439185387178</v>
      </c>
      <c r="P19" s="7" t="n">
        <v>-182.7506484</v>
      </c>
      <c r="Q19" s="4" t="n">
        <v>-141.3512425762399</v>
      </c>
      <c r="R19" s="7" t="n">
        <v>-74.50343705123552</v>
      </c>
      <c r="S19" s="8" t="n"/>
    </row>
    <row r="20">
      <c r="A20" s="2" t="n">
        <v>1400</v>
      </c>
      <c r="B20" s="3" t="n">
        <v>-1253.2743753</v>
      </c>
      <c r="C20" s="3" t="n">
        <v>-973.5826739212865</v>
      </c>
      <c r="D20" s="3" t="n">
        <v>-929.0121239368905</v>
      </c>
      <c r="E20" s="3" t="n">
        <v>-892.0789513096105</v>
      </c>
      <c r="F20" s="3" t="n">
        <v>-835.0398962350242</v>
      </c>
      <c r="G20" s="3" t="n">
        <v>-819.4172379367423</v>
      </c>
      <c r="H20" s="3" t="n">
        <v>-689.2430300242985</v>
      </c>
      <c r="I20" s="3" t="n">
        <v>-661.3164428895054</v>
      </c>
      <c r="J20" s="3" t="n">
        <v>-564.4704559838641</v>
      </c>
      <c r="K20" s="3" t="n">
        <v>-509.4246238396258</v>
      </c>
      <c r="L20" s="3" t="n">
        <v>-394.4375204423739</v>
      </c>
      <c r="M20" s="3" t="n">
        <v>-358.5298894170322</v>
      </c>
      <c r="N20" s="3" t="n">
        <v>-270.1667463972911</v>
      </c>
      <c r="O20" s="3" t="n">
        <v>-231.0046404983115</v>
      </c>
      <c r="P20" s="3" t="n">
        <v>-187.0769424</v>
      </c>
      <c r="Q20" s="4" t="n">
        <v>-132.7633459339606</v>
      </c>
      <c r="R20" s="3" t="n">
        <v>-68.76787112085253</v>
      </c>
      <c r="S20" s="5" t="n"/>
    </row>
    <row r="21">
      <c r="A21" s="6" t="n">
        <v>1450</v>
      </c>
      <c r="B21" s="7" t="n">
        <v>-1262.1579439</v>
      </c>
      <c r="C21" s="7" t="n">
        <v>-962.4464338332515</v>
      </c>
      <c r="D21" s="7" t="n">
        <v>-919.5255669901352</v>
      </c>
      <c r="E21" s="7" t="n">
        <v>-871.6970136814315</v>
      </c>
      <c r="F21" s="7" t="n">
        <v>-825.9792988744066</v>
      </c>
      <c r="G21" s="7" t="n">
        <v>-808.4731429537297</v>
      </c>
      <c r="H21" s="7" t="n">
        <v>-680.3856231992233</v>
      </c>
      <c r="I21" s="7" t="n">
        <v>-652.8043167078705</v>
      </c>
      <c r="J21" s="7" t="n">
        <v>-556.6485647068204</v>
      </c>
      <c r="K21" s="7" t="n">
        <v>-501.0592423101654</v>
      </c>
      <c r="L21" s="7" t="n">
        <v>-388.1035280051699</v>
      </c>
      <c r="M21" s="7" t="n">
        <v>-352.0552381956762</v>
      </c>
      <c r="N21" s="7" t="n">
        <v>-263.1548163389642</v>
      </c>
      <c r="O21" s="7" t="n">
        <v>-222.684315568764</v>
      </c>
      <c r="P21" s="7" t="n">
        <v>-191.4612845</v>
      </c>
      <c r="Q21" s="4" t="n">
        <v>-123.9064215981835</v>
      </c>
      <c r="R21" s="7" t="n">
        <v>-65.95356295863947</v>
      </c>
      <c r="S21" s="8" t="n"/>
    </row>
    <row r="22">
      <c r="A22" s="2" t="n">
        <v>1500</v>
      </c>
      <c r="B22" s="9" t="n">
        <v>-1271.1859373</v>
      </c>
      <c r="C22" s="9" t="n">
        <v>-951.3161569386621</v>
      </c>
      <c r="D22" s="9" t="n">
        <v>-910.0613656007278</v>
      </c>
      <c r="E22" s="9" t="n">
        <v>-851.3638529099287</v>
      </c>
      <c r="F22" s="9" t="n">
        <v>-816.9423587612822</v>
      </c>
      <c r="G22" s="9" t="n">
        <v>-797.544545952044</v>
      </c>
      <c r="H22" s="9" t="n">
        <v>-671.5437419763158</v>
      </c>
      <c r="I22" s="9" t="n">
        <v>-644.3034912577874</v>
      </c>
      <c r="J22" s="9" t="n">
        <v>-548.7790782818767</v>
      </c>
      <c r="K22" s="9" t="n">
        <v>-492.6909114620107</v>
      </c>
      <c r="L22" s="9" t="n">
        <v>-381.8740975446515</v>
      </c>
      <c r="M22" s="9" t="n">
        <v>-345.6100594116478</v>
      </c>
      <c r="N22" s="9" t="n">
        <v>-256.1561934699415</v>
      </c>
      <c r="O22" s="9" t="n">
        <v>-214.3823997962105</v>
      </c>
      <c r="P22" s="9" t="n">
        <v>-195.9016721</v>
      </c>
      <c r="Q22" s="10" t="n">
        <v>-114.8758367473076</v>
      </c>
      <c r="R22" s="9" t="n">
        <v>-63.1445508070559</v>
      </c>
      <c r="S22" s="5" t="n"/>
    </row>
    <row r="23">
      <c r="A23" s="6" t="n">
        <v>1550</v>
      </c>
      <c r="B23" s="7" t="n">
        <v>-1280.3543841</v>
      </c>
      <c r="C23" s="7" t="n">
        <v>-940.1919150647631</v>
      </c>
      <c r="D23" s="7" t="n">
        <v>-900.6195903156959</v>
      </c>
      <c r="E23" s="7" t="n">
        <v>-831.0783662524877</v>
      </c>
      <c r="F23" s="7" t="n">
        <v>-807.9281810982267</v>
      </c>
      <c r="G23" s="7" t="n">
        <v>-786.6313569313975</v>
      </c>
      <c r="H23" s="7" t="n">
        <v>-662.7163237372257</v>
      </c>
      <c r="I23" s="7" t="n">
        <v>-635.8136826616658</v>
      </c>
      <c r="J23" s="7" t="n">
        <v>-540.357200276658</v>
      </c>
      <c r="K23" s="7" t="n">
        <v>-484.3175483440654</v>
      </c>
      <c r="L23" s="7" t="n">
        <v>-375.7546927643964</v>
      </c>
      <c r="M23" s="7" t="n">
        <v>-339.1934602473298</v>
      </c>
      <c r="N23" s="7" t="n">
        <v>-249.1766896571758</v>
      </c>
      <c r="O23" s="7" t="n">
        <v>-206.0986076787186</v>
      </c>
      <c r="P23" s="7" t="n">
        <v>-200.3962365</v>
      </c>
      <c r="Q23" s="4" t="n">
        <v>-110.3812205798784</v>
      </c>
      <c r="R23" s="7" t="n">
        <v>-60.34221870138654</v>
      </c>
      <c r="S23" s="8" t="n"/>
    </row>
    <row r="24">
      <c r="A24" s="2" t="n">
        <v>1600</v>
      </c>
      <c r="B24" s="3" t="n">
        <v>-1289.6595643</v>
      </c>
      <c r="C24" s="3" t="n">
        <v>-929.0737646383856</v>
      </c>
      <c r="D24" s="3" t="n">
        <v>-891.2002914973899</v>
      </c>
      <c r="E24" s="3" t="n">
        <v>-810.8395051303041</v>
      </c>
      <c r="F24" s="3" t="n">
        <v>-798.9358873333457</v>
      </c>
      <c r="G24" s="3" t="n">
        <v>-775.7334506864258</v>
      </c>
      <c r="H24" s="3" t="n">
        <v>-653.9024143762646</v>
      </c>
      <c r="I24" s="3" t="n">
        <v>-627.3347385940696</v>
      </c>
      <c r="J24" s="3" t="n">
        <v>-531.5955757293947</v>
      </c>
      <c r="K24" s="3" t="n">
        <v>-475.937217515983</v>
      </c>
      <c r="L24" s="3" t="n">
        <v>-369.7492571938611</v>
      </c>
      <c r="M24" s="3" t="n">
        <v>-332.8046192021616</v>
      </c>
      <c r="N24" s="3" t="n">
        <v>-242.2202282559791</v>
      </c>
      <c r="O24" s="3" t="n">
        <v>-197.8329038733746</v>
      </c>
      <c r="P24" s="3" t="n">
        <v>-204.9432293</v>
      </c>
      <c r="Q24" s="4" t="n">
        <v>-105.8550375601887</v>
      </c>
      <c r="R24" s="3" t="n">
        <v>-57.54794296619482</v>
      </c>
      <c r="S24" s="5" t="n"/>
    </row>
    <row r="25">
      <c r="A25" s="6" t="n">
        <v>1650</v>
      </c>
      <c r="B25" s="7" t="n">
        <v>-1299.0979866</v>
      </c>
      <c r="C25" s="7" t="n">
        <v>-917.9617440179819</v>
      </c>
      <c r="D25" s="7" t="n">
        <v>-881.8034957054283</v>
      </c>
      <c r="E25" s="7" t="n">
        <v>-790.6462662127871</v>
      </c>
      <c r="F25" s="7" t="n">
        <v>-789.9646082043766</v>
      </c>
      <c r="G25" s="7" t="n">
        <v>-764.8506619838155</v>
      </c>
      <c r="H25" s="7" t="n">
        <v>-645.1011781239298</v>
      </c>
      <c r="I25" s="7" t="n">
        <v>-618.8666283454778</v>
      </c>
      <c r="J25" s="7" t="n">
        <v>-522.8133605819796</v>
      </c>
      <c r="K25" s="7" t="n">
        <v>-467.5480447063682</v>
      </c>
      <c r="L25" s="7" t="n">
        <v>-363.8600298478413</v>
      </c>
      <c r="M25" s="7" t="n">
        <v>-314.0972492111393</v>
      </c>
      <c r="N25" s="7" t="n">
        <v>-235.2896836711115</v>
      </c>
      <c r="O25" s="7" t="n">
        <v>-189.5854933436364</v>
      </c>
      <c r="P25" s="7" t="n">
        <v>-209.5410116</v>
      </c>
      <c r="Q25" s="4" t="n">
        <v>-101.299010629023</v>
      </c>
      <c r="R25" s="7" t="n">
        <v>-54.76308692569408</v>
      </c>
      <c r="S25" s="7" t="n">
        <v>-589.1153863806659</v>
      </c>
    </row>
    <row r="26">
      <c r="A26" s="2" t="n">
        <v>1700</v>
      </c>
      <c r="B26" s="3" t="n">
        <v>-1308.6663673</v>
      </c>
      <c r="C26" s="3" t="n">
        <v>-906.8558694345136</v>
      </c>
      <c r="D26" s="3" t="n">
        <v>-872.4292010946327</v>
      </c>
      <c r="E26" s="3" t="n">
        <v>-770.4976774879331</v>
      </c>
      <c r="F26" s="3" t="n">
        <v>-781.0134759733146</v>
      </c>
      <c r="G26" s="3" t="n">
        <v>-753.9828363166056</v>
      </c>
      <c r="H26" s="3" t="n">
        <v>-636.3119045522462</v>
      </c>
      <c r="I26" s="3" t="n">
        <v>-610.0224072017944</v>
      </c>
      <c r="J26" s="3" t="n">
        <v>-514.0125839423008</v>
      </c>
      <c r="K26" s="3" t="n">
        <v>-459.1480627147442</v>
      </c>
      <c r="L26" s="3" t="n">
        <v>-358.087507335735</v>
      </c>
      <c r="M26" s="3" t="n">
        <v>-309.7751538370359</v>
      </c>
      <c r="N26" s="3" t="n">
        <v>-228.3873041210682</v>
      </c>
      <c r="O26" s="3" t="n">
        <v>-181.3568089792072</v>
      </c>
      <c r="P26" s="3" t="n">
        <v>-214.1880439</v>
      </c>
      <c r="Q26" s="4" t="n">
        <v>-96.71484330904914</v>
      </c>
      <c r="R26" s="3" t="n">
        <v>-51.98900601446728</v>
      </c>
      <c r="S26" s="3" t="n">
        <v>-582.2533580342766</v>
      </c>
    </row>
    <row r="27">
      <c r="A27" s="6" t="n">
        <v>1750</v>
      </c>
      <c r="B27" s="7" t="n">
        <v>-1318.3616131</v>
      </c>
      <c r="C27" s="7" t="n">
        <v>-895.7561292973371</v>
      </c>
      <c r="D27" s="7" t="n">
        <v>-863.0773714883223</v>
      </c>
      <c r="E27" s="7" t="n">
        <v>-750.3928249994035</v>
      </c>
      <c r="F27" s="7" t="n">
        <v>-772.0816155152687</v>
      </c>
      <c r="G27" s="7" t="n">
        <v>-743.1297371618816</v>
      </c>
      <c r="H27" s="7" t="n">
        <v>-627.5340121587842</v>
      </c>
      <c r="I27" s="7" t="n">
        <v>-600.0921254936508</v>
      </c>
      <c r="J27" s="7" t="n">
        <v>-505.1951586633933</v>
      </c>
      <c r="K27" s="7" t="n">
        <v>-450.7353091499247</v>
      </c>
      <c r="L27" s="7" t="n">
        <v>-352.4305395324036</v>
      </c>
      <c r="M27" s="7" t="n">
        <v>-305.4979802534731</v>
      </c>
      <c r="N27" s="7" t="n">
        <v>-221.5149395805794</v>
      </c>
      <c r="O27" s="7" t="n">
        <v>-172.7020806393123</v>
      </c>
      <c r="P27" s="7" t="n">
        <v>-218.8828772</v>
      </c>
      <c r="Q27" s="4" t="n">
        <v>-92.10422793748043</v>
      </c>
      <c r="R27" s="7" t="n">
        <v>-49.22706838140898</v>
      </c>
      <c r="S27" s="8" t="n"/>
    </row>
    <row r="28">
      <c r="A28" s="2" t="n">
        <v>1800</v>
      </c>
      <c r="B28" s="9" t="n">
        <v>-1328.1808049</v>
      </c>
      <c r="C28" s="9" t="n">
        <v>-878.7779931535616</v>
      </c>
      <c r="D28" s="9" t="n">
        <v>-853.747928801148</v>
      </c>
      <c r="E28" s="9" t="n">
        <v>-730.3308813278452</v>
      </c>
      <c r="F28" s="9" t="n">
        <v>-763.1681339374098</v>
      </c>
      <c r="G28" s="9" t="n">
        <v>-732.2910760153113</v>
      </c>
      <c r="H28" s="9" t="n">
        <v>-618.7670479452783</v>
      </c>
      <c r="I28" s="9" t="n">
        <v>-590.1893390726664</v>
      </c>
      <c r="J28" s="9" t="n">
        <v>-496.3628769194594</v>
      </c>
      <c r="K28" s="9" t="n">
        <v>-442.3078154166474</v>
      </c>
      <c r="L28" s="9" t="n">
        <v>-346.8865292039599</v>
      </c>
      <c r="M28" s="9" t="n">
        <v>-301.2768373646258</v>
      </c>
      <c r="N28" s="9" t="n">
        <v>-214.0876130411034</v>
      </c>
      <c r="O28" s="9" t="n">
        <v>-163.4917866163266</v>
      </c>
      <c r="P28" s="9" t="n">
        <v>-223.6241454</v>
      </c>
      <c r="Q28" s="10" t="n">
        <v>-87.46885336479237</v>
      </c>
      <c r="R28" s="9" t="n">
        <v>-46.47869752642286</v>
      </c>
      <c r="S28" s="9" t="n">
        <v>-568.5730231932541</v>
      </c>
    </row>
    <row r="29">
      <c r="A29" s="6" t="n">
        <v>1850</v>
      </c>
      <c r="B29" s="7" t="n">
        <v>-1338.1211835</v>
      </c>
      <c r="C29" s="7" t="n">
        <v>-859.3399327782263</v>
      </c>
      <c r="D29" s="7" t="n">
        <v>-844.4407435097099</v>
      </c>
      <c r="E29" s="7" t="n">
        <v>-710.3110439399925</v>
      </c>
      <c r="F29" s="7" t="n">
        <v>-754.2721084256325</v>
      </c>
      <c r="G29" s="7" t="n">
        <v>-721.4665176004764</v>
      </c>
      <c r="H29" s="7" t="n">
        <v>-610.0106824632546</v>
      </c>
      <c r="I29" s="7" t="n">
        <v>-580.299693879806</v>
      </c>
      <c r="J29" s="7" t="n">
        <v>-487.5174030603826</v>
      </c>
      <c r="K29" s="7" t="n">
        <v>-433.8635940452137</v>
      </c>
      <c r="L29" s="7" t="n">
        <v>-341.4535164209858</v>
      </c>
      <c r="M29" s="7" t="n">
        <v>-296.5166570933199</v>
      </c>
      <c r="N29" s="7" t="n">
        <v>-206.3639148157445</v>
      </c>
      <c r="O29" s="7" t="n">
        <v>-154.2935484665909</v>
      </c>
      <c r="P29" s="7" t="n">
        <v>-228.4105583</v>
      </c>
      <c r="Q29" s="4" t="n">
        <v>-82.81041231628286</v>
      </c>
      <c r="R29" s="7" t="n">
        <v>-43.74544564525888</v>
      </c>
      <c r="S29" s="8" t="n"/>
    </row>
    <row r="30">
      <c r="A30" s="2" t="n">
        <v>1900</v>
      </c>
      <c r="B30" s="3" t="n">
        <v>-1348.1801366</v>
      </c>
      <c r="C30" s="3" t="n">
        <v>-839.9458194331704</v>
      </c>
      <c r="D30" s="3" t="n">
        <v>-835.1556229031498</v>
      </c>
      <c r="E30" s="3" t="n">
        <v>-690.332499312883</v>
      </c>
      <c r="F30" s="3" t="n">
        <v>-745.3925720481142</v>
      </c>
      <c r="G30" s="3" t="n">
        <v>-710.6556713434768</v>
      </c>
      <c r="H30" s="3" t="n">
        <v>-601.2646998841914</v>
      </c>
      <c r="I30" s="3" t="n">
        <v>-570.4228635388772</v>
      </c>
      <c r="J30" s="3" t="n">
        <v>-478.6602637209634</v>
      </c>
      <c r="K30" s="3" t="n">
        <v>-425.4006240691915</v>
      </c>
      <c r="L30" s="3" t="n">
        <v>-336.134072719914</v>
      </c>
      <c r="M30" s="3" t="n">
        <v>-291.6327918961189</v>
      </c>
      <c r="N30" s="3" t="n">
        <v>-198.6742546102984</v>
      </c>
      <c r="O30" s="3" t="n">
        <v>-145.11038141873</v>
      </c>
      <c r="P30" s="3" t="n">
        <v>-233.2408955</v>
      </c>
      <c r="Q30" s="4" t="n">
        <v>-78.13060871869047</v>
      </c>
      <c r="R30" s="3" t="n">
        <v>-41.02910963794444</v>
      </c>
      <c r="S30" s="3" t="n">
        <v>-554.9438309654303</v>
      </c>
    </row>
    <row r="31">
      <c r="A31" s="6" t="n">
        <v>1950</v>
      </c>
      <c r="B31" s="7" t="n">
        <v>-1358.3551881</v>
      </c>
      <c r="C31" s="7" t="n">
        <v>-820.5943916234708</v>
      </c>
      <c r="D31" s="7" t="n">
        <v>-825.8922968892399</v>
      </c>
      <c r="E31" s="7" t="n">
        <v>-670.3944053197175</v>
      </c>
      <c r="F31" s="7" t="n">
        <v>-736.5284972865035</v>
      </c>
      <c r="G31" s="7" t="n">
        <v>-699.8580795240747</v>
      </c>
      <c r="H31" s="7" t="n">
        <v>-592.4641432751233</v>
      </c>
      <c r="I31" s="7" t="n">
        <v>-560.5584598377441</v>
      </c>
      <c r="J31" s="7" t="n">
        <v>-469.7928351539045</v>
      </c>
      <c r="K31" s="7" t="n">
        <v>-416.9168342028404</v>
      </c>
      <c r="L31" s="7" t="n">
        <v>-330.9249115587657</v>
      </c>
      <c r="M31" s="7" t="n">
        <v>-286.7814696374892</v>
      </c>
      <c r="N31" s="7" t="n">
        <v>-191.0207866651654</v>
      </c>
      <c r="O31" s="7" t="n">
        <v>-135.9455215206774</v>
      </c>
      <c r="P31" s="7" t="n">
        <v>-238.1140007</v>
      </c>
      <c r="Q31" s="4" t="n">
        <v>-73.43116542687989</v>
      </c>
      <c r="R31" s="7" t="n">
        <v>-38.3319069383312</v>
      </c>
      <c r="S31" s="7" t="n">
        <v>-548.1457657587949</v>
      </c>
    </row>
    <row r="32">
      <c r="A32" s="2" t="n">
        <v>2000</v>
      </c>
      <c r="B32" s="3" t="n">
        <v>-1368.6439872</v>
      </c>
      <c r="C32" s="3" t="n">
        <v>-801.2843233077027</v>
      </c>
      <c r="D32" s="3" t="n">
        <v>-816.6504011832682</v>
      </c>
      <c r="E32" s="3" t="n">
        <v>-650.4958812994819</v>
      </c>
      <c r="F32" s="3" t="n">
        <v>-727.6787771156154</v>
      </c>
      <c r="G32" s="3" t="n">
        <v>-689.0732019916933</v>
      </c>
      <c r="H32" s="3" t="n">
        <v>-583.3671197263872</v>
      </c>
      <c r="I32" s="3" t="n">
        <v>-550.3139062783636</v>
      </c>
      <c r="J32" s="3" t="n">
        <v>-460.9163277649841</v>
      </c>
      <c r="K32" s="3" t="n">
        <v>-408.4100836247101</v>
      </c>
      <c r="L32" s="3" t="n">
        <v>-325.8214476288997</v>
      </c>
      <c r="M32" s="3" t="n">
        <v>-281.9612363911645</v>
      </c>
      <c r="N32" s="3" t="n">
        <v>-183.4056604376848</v>
      </c>
      <c r="O32" s="3" t="n">
        <v>-126.803258090327</v>
      </c>
      <c r="P32" s="3" t="n">
        <v>-245.4363661</v>
      </c>
      <c r="Q32" s="4" t="n">
        <v>-68.71383294036461</v>
      </c>
      <c r="R32" s="3" t="n">
        <v>-35.65673688649282</v>
      </c>
      <c r="S3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3" customWidth="1" min="4" max="4"/>
    <col width="16" customWidth="1" min="5" max="5"/>
    <col width="16" customWidth="1" min="6" max="6"/>
  </cols>
  <sheetData>
    <row r="1">
      <c r="A1" s="11" t="inlineStr">
        <is>
          <t>ΔG_rxn at 727°C (1000 K)</t>
        </is>
      </c>
    </row>
    <row r="2">
      <c r="A2" s="1" t="inlineStr">
        <is>
          <t>Oxide</t>
        </is>
      </c>
      <c r="B2" s="1" t="inlineStr">
        <is>
          <t>ΔGf(oxide) kJ</t>
        </is>
      </c>
      <c r="C2" s="1" t="inlineStr">
        <is>
          <t>ΔGf(Cu₂O) kJ</t>
        </is>
      </c>
      <c r="D2" s="1" t="inlineStr"/>
      <c r="E2" s="1" t="inlineStr">
        <is>
          <t>ΔG_rxn kJ</t>
        </is>
      </c>
      <c r="F2" s="1" t="inlineStr">
        <is>
          <t>Verdict</t>
        </is>
      </c>
    </row>
    <row r="3">
      <c r="A3" s="12" t="inlineStr">
        <is>
          <t>CeO2</t>
        </is>
      </c>
      <c r="B3" s="13">
        <f>'Formation Energies'!B12</f>
        <v/>
      </c>
      <c r="C3" s="13">
        <f>'Formation Energies'!Q12</f>
        <v/>
      </c>
      <c r="D3" s="12" t="inlineStr">
        <is>
          <t>=</t>
        </is>
      </c>
      <c r="E3" s="14">
        <f>C3-B3</f>
        <v/>
      </c>
      <c r="F3" s="15">
        <f>IF(ISBLANK(B3),"Pending",IF(E3&gt;0,"CANNOT reduce","CAN reduce"))</f>
        <v/>
      </c>
    </row>
    <row r="4">
      <c r="A4" s="16" t="inlineStr">
        <is>
          <t>CaO</t>
        </is>
      </c>
      <c r="B4" s="17">
        <f>'Formation Energies'!C12</f>
        <v/>
      </c>
      <c r="C4" s="17">
        <f>'Formation Energies'!Q12</f>
        <v/>
      </c>
      <c r="D4" s="16" t="inlineStr">
        <is>
          <t>=</t>
        </is>
      </c>
      <c r="E4" s="18">
        <f>C4-B4</f>
        <v/>
      </c>
      <c r="F4" s="19">
        <f>IF(ISBLANK(B4),"Pending",IF(E4&gt;0,"CANNOT reduce","CAN reduce"))</f>
        <v/>
      </c>
    </row>
    <row r="5">
      <c r="A5" s="12" t="inlineStr">
        <is>
          <t>La2O3</t>
        </is>
      </c>
      <c r="B5" s="13">
        <f>'Formation Energies'!D12</f>
        <v/>
      </c>
      <c r="C5" s="13">
        <f>'Formation Energies'!Q12</f>
        <v/>
      </c>
      <c r="D5" s="12" t="inlineStr">
        <is>
          <t>=</t>
        </is>
      </c>
      <c r="E5" s="14">
        <f>C5-B5</f>
        <v/>
      </c>
      <c r="F5" s="15">
        <f>IF(ISBLANK(B5),"Pending",IF(E5&gt;0,"CANNOT reduce","CAN reduce"))</f>
        <v/>
      </c>
    </row>
    <row r="6">
      <c r="A6" s="16" t="inlineStr">
        <is>
          <t>MgO</t>
        </is>
      </c>
      <c r="B6" s="17">
        <f>'Formation Energies'!E12</f>
        <v/>
      </c>
      <c r="C6" s="17">
        <f>'Formation Energies'!Q12</f>
        <v/>
      </c>
      <c r="D6" s="16" t="inlineStr">
        <is>
          <t>=</t>
        </is>
      </c>
      <c r="E6" s="18">
        <f>C6-B6</f>
        <v/>
      </c>
      <c r="F6" s="19">
        <f>IF(ISBLANK(B6),"Pending",IF(E6&gt;0,"CANNOT reduce","CAN reduce"))</f>
        <v/>
      </c>
    </row>
    <row r="7">
      <c r="A7" s="12" t="inlineStr">
        <is>
          <t>ZrO2</t>
        </is>
      </c>
      <c r="B7" s="13">
        <f>'Formation Energies'!F12</f>
        <v/>
      </c>
      <c r="C7" s="13">
        <f>'Formation Energies'!Q12</f>
        <v/>
      </c>
      <c r="D7" s="12" t="inlineStr">
        <is>
          <t>=</t>
        </is>
      </c>
      <c r="E7" s="14">
        <f>C7-B7</f>
        <v/>
      </c>
      <c r="F7" s="15">
        <f>IF(ISBLANK(B7),"Pending",IF(E7&gt;0,"CANNOT reduce","CAN reduce"))</f>
        <v/>
      </c>
    </row>
    <row r="8">
      <c r="A8" s="16" t="inlineStr">
        <is>
          <t>Al2O3</t>
        </is>
      </c>
      <c r="B8" s="17">
        <f>'Formation Energies'!G12</f>
        <v/>
      </c>
      <c r="C8" s="17">
        <f>'Formation Energies'!Q12</f>
        <v/>
      </c>
      <c r="D8" s="16" t="inlineStr">
        <is>
          <t>=</t>
        </is>
      </c>
      <c r="E8" s="18">
        <f>C8-B8</f>
        <v/>
      </c>
      <c r="F8" s="19">
        <f>IF(ISBLANK(B8),"Pending",IF(E8&gt;0,"CANNOT reduce","CAN reduce"))</f>
        <v/>
      </c>
    </row>
    <row r="9">
      <c r="A9" s="12" t="inlineStr">
        <is>
          <t>TiO2</t>
        </is>
      </c>
      <c r="B9" s="13">
        <f>'Formation Energies'!H12</f>
        <v/>
      </c>
      <c r="C9" s="13">
        <f>'Formation Energies'!Q12</f>
        <v/>
      </c>
      <c r="D9" s="12" t="inlineStr">
        <is>
          <t>=</t>
        </is>
      </c>
      <c r="E9" s="14">
        <f>C9-B9</f>
        <v/>
      </c>
      <c r="F9" s="15">
        <f>IF(ISBLANK(B9),"Pending",IF(E9&gt;0,"CANNOT reduce","CAN reduce"))</f>
        <v/>
      </c>
    </row>
    <row r="10">
      <c r="A10" s="16" t="inlineStr">
        <is>
          <t>SiO2</t>
        </is>
      </c>
      <c r="B10" s="17">
        <f>'Formation Energies'!I12</f>
        <v/>
      </c>
      <c r="C10" s="17">
        <f>'Formation Energies'!Q12</f>
        <v/>
      </c>
      <c r="D10" s="16" t="inlineStr">
        <is>
          <t>=</t>
        </is>
      </c>
      <c r="E10" s="18">
        <f>C10-B10</f>
        <v/>
      </c>
      <c r="F10" s="19">
        <f>IF(ISBLANK(B10),"Pending",IF(E10&gt;0,"CANNOT reduce","CAN reduce"))</f>
        <v/>
      </c>
    </row>
    <row r="11">
      <c r="A11" s="12" t="inlineStr">
        <is>
          <t>MnO</t>
        </is>
      </c>
      <c r="B11" s="13">
        <f>'Formation Energies'!J12</f>
        <v/>
      </c>
      <c r="C11" s="13">
        <f>'Formation Energies'!Q12</f>
        <v/>
      </c>
      <c r="D11" s="12" t="inlineStr">
        <is>
          <t>=</t>
        </is>
      </c>
      <c r="E11" s="14">
        <f>C11-B11</f>
        <v/>
      </c>
      <c r="F11" s="15">
        <f>IF(ISBLANK(B11),"Pending",IF(E11&gt;0,"CANNOT reduce","CAN reduce"))</f>
        <v/>
      </c>
    </row>
    <row r="12">
      <c r="A12" s="16" t="inlineStr">
        <is>
          <t>Cr2O3</t>
        </is>
      </c>
      <c r="B12" s="17">
        <f>'Formation Energies'!K12</f>
        <v/>
      </c>
      <c r="C12" s="17">
        <f>'Formation Energies'!Q12</f>
        <v/>
      </c>
      <c r="D12" s="16" t="inlineStr">
        <is>
          <t>=</t>
        </is>
      </c>
      <c r="E12" s="18">
        <f>C12-B12</f>
        <v/>
      </c>
      <c r="F12" s="19">
        <f>IF(ISBLANK(B12),"Pending",IF(E12&gt;0,"CANNOT reduce","CAN reduce"))</f>
        <v/>
      </c>
    </row>
    <row r="13">
      <c r="A13" s="12" t="inlineStr">
        <is>
          <t>V2O5</t>
        </is>
      </c>
      <c r="B13" s="13">
        <f>'Formation Energies'!L12</f>
        <v/>
      </c>
      <c r="C13" s="13">
        <f>'Formation Energies'!Q12</f>
        <v/>
      </c>
      <c r="D13" s="12" t="inlineStr">
        <is>
          <t>=</t>
        </is>
      </c>
      <c r="E13" s="14">
        <f>C13-B13</f>
        <v/>
      </c>
      <c r="F13" s="15">
        <f>IF(ISBLANK(B13),"Pending",IF(E13&gt;0,"CANNOT reduce","CAN reduce"))</f>
        <v/>
      </c>
    </row>
    <row r="14">
      <c r="A14" s="16" t="inlineStr">
        <is>
          <t>FeO</t>
        </is>
      </c>
      <c r="B14" s="17">
        <f>'Formation Energies'!M12</f>
        <v/>
      </c>
      <c r="C14" s="17">
        <f>'Formation Energies'!Q12</f>
        <v/>
      </c>
      <c r="D14" s="16" t="inlineStr">
        <is>
          <t>=</t>
        </is>
      </c>
      <c r="E14" s="18">
        <f>C14-B14</f>
        <v/>
      </c>
      <c r="F14" s="19">
        <f>IF(ISBLANK(B14),"Pending",IF(E14&gt;0,"CANNOT reduce","CAN reduce"))</f>
        <v/>
      </c>
    </row>
    <row r="15">
      <c r="A15" s="12" t="inlineStr">
        <is>
          <t>CoO</t>
        </is>
      </c>
      <c r="B15" s="13">
        <f>'Formation Energies'!N12</f>
        <v/>
      </c>
      <c r="C15" s="13">
        <f>'Formation Energies'!Q12</f>
        <v/>
      </c>
      <c r="D15" s="12" t="inlineStr">
        <is>
          <t>=</t>
        </is>
      </c>
      <c r="E15" s="14">
        <f>C15-B15</f>
        <v/>
      </c>
      <c r="F15" s="15">
        <f>IF(ISBLANK(B15),"Pending",IF(E15&gt;0,"CANNOT reduce","CAN reduce"))</f>
        <v/>
      </c>
    </row>
    <row r="16">
      <c r="A16" s="16" t="inlineStr">
        <is>
          <t>NiO</t>
        </is>
      </c>
      <c r="B16" s="17">
        <f>'Formation Energies'!O12</f>
        <v/>
      </c>
      <c r="C16" s="17">
        <f>'Formation Energies'!Q12</f>
        <v/>
      </c>
      <c r="D16" s="16" t="inlineStr">
        <is>
          <t>=</t>
        </is>
      </c>
      <c r="E16" s="18">
        <f>C16-B16</f>
        <v/>
      </c>
      <c r="F16" s="19">
        <f>IF(ISBLANK(B16),"Pending",IF(E16&gt;0,"CANNOT reduce","CAN reduce"))</f>
        <v/>
      </c>
    </row>
    <row r="17">
      <c r="A17" s="12" t="inlineStr">
        <is>
          <t>PbO</t>
        </is>
      </c>
      <c r="B17" s="13">
        <f>'Formation Energies'!P12</f>
        <v/>
      </c>
      <c r="C17" s="13">
        <f>'Formation Energies'!Q12</f>
        <v/>
      </c>
      <c r="D17" s="12" t="inlineStr">
        <is>
          <t>=</t>
        </is>
      </c>
      <c r="E17" s="14">
        <f>C17-B17</f>
        <v/>
      </c>
      <c r="F17" s="15">
        <f>IF(ISBLANK(B17),"Pending",IF(E17&gt;0,"CANNOT reduce","CAN reduce"))</f>
        <v/>
      </c>
    </row>
    <row r="18">
      <c r="A18" s="16" t="inlineStr">
        <is>
          <t>B2O3</t>
        </is>
      </c>
      <c r="B18" s="17">
        <f>'Formation Energies'!S12</f>
        <v/>
      </c>
      <c r="C18" s="17">
        <f>'Formation Energies'!Q12</f>
        <v/>
      </c>
      <c r="D18" s="16" t="inlineStr">
        <is>
          <t>=</t>
        </is>
      </c>
      <c r="E18" s="18">
        <f>C18-B18</f>
        <v/>
      </c>
      <c r="F18" s="19">
        <f>IF(ISBLANK(B18),"Pending",IF(E18&gt;0,"CANNOT reduce","CAN reduce"))</f>
        <v/>
      </c>
    </row>
    <row r="20">
      <c r="A20" s="11" t="inlineStr">
        <is>
          <t>ΔG_rxn at 1227°C (1500 K)</t>
        </is>
      </c>
    </row>
    <row r="21">
      <c r="A21" s="1" t="inlineStr">
        <is>
          <t>Oxide</t>
        </is>
      </c>
      <c r="B21" s="1" t="inlineStr">
        <is>
          <t>ΔGf(oxide) kJ</t>
        </is>
      </c>
      <c r="C21" s="1" t="inlineStr">
        <is>
          <t>ΔGf(Cu₂O) kJ</t>
        </is>
      </c>
      <c r="D21" s="1" t="inlineStr"/>
      <c r="E21" s="1" t="inlineStr">
        <is>
          <t>ΔG_rxn kJ</t>
        </is>
      </c>
      <c r="F21" s="1" t="inlineStr">
        <is>
          <t>Verdict</t>
        </is>
      </c>
    </row>
    <row r="22">
      <c r="A22" s="12" t="inlineStr">
        <is>
          <t>CeO2</t>
        </is>
      </c>
      <c r="B22" s="13">
        <f>'Formation Energies'!B22</f>
        <v/>
      </c>
      <c r="C22" s="13">
        <f>'Formation Energies'!Q22</f>
        <v/>
      </c>
      <c r="D22" s="12" t="inlineStr">
        <is>
          <t>=</t>
        </is>
      </c>
      <c r="E22" s="14">
        <f>C22-B22</f>
        <v/>
      </c>
      <c r="F22" s="15">
        <f>IF(ISBLANK(B22),"Pending",IF(E22&gt;0,"CANNOT reduce","CAN reduce"))</f>
        <v/>
      </c>
    </row>
    <row r="23">
      <c r="A23" s="16" t="inlineStr">
        <is>
          <t>CaO</t>
        </is>
      </c>
      <c r="B23" s="17">
        <f>'Formation Energies'!C22</f>
        <v/>
      </c>
      <c r="C23" s="17">
        <f>'Formation Energies'!Q22</f>
        <v/>
      </c>
      <c r="D23" s="16" t="inlineStr">
        <is>
          <t>=</t>
        </is>
      </c>
      <c r="E23" s="18">
        <f>C23-B23</f>
        <v/>
      </c>
      <c r="F23" s="19">
        <f>IF(ISBLANK(B23),"Pending",IF(E23&gt;0,"CANNOT reduce","CAN reduce"))</f>
        <v/>
      </c>
    </row>
    <row r="24">
      <c r="A24" s="12" t="inlineStr">
        <is>
          <t>La2O3</t>
        </is>
      </c>
      <c r="B24" s="13">
        <f>'Formation Energies'!D22</f>
        <v/>
      </c>
      <c r="C24" s="13">
        <f>'Formation Energies'!Q22</f>
        <v/>
      </c>
      <c r="D24" s="12" t="inlineStr">
        <is>
          <t>=</t>
        </is>
      </c>
      <c r="E24" s="14">
        <f>C24-B24</f>
        <v/>
      </c>
      <c r="F24" s="15">
        <f>IF(ISBLANK(B24),"Pending",IF(E24&gt;0,"CANNOT reduce","CAN reduce"))</f>
        <v/>
      </c>
    </row>
    <row r="25">
      <c r="A25" s="16" t="inlineStr">
        <is>
          <t>MgO</t>
        </is>
      </c>
      <c r="B25" s="17">
        <f>'Formation Energies'!E22</f>
        <v/>
      </c>
      <c r="C25" s="17">
        <f>'Formation Energies'!Q22</f>
        <v/>
      </c>
      <c r="D25" s="16" t="inlineStr">
        <is>
          <t>=</t>
        </is>
      </c>
      <c r="E25" s="18">
        <f>C25-B25</f>
        <v/>
      </c>
      <c r="F25" s="19">
        <f>IF(ISBLANK(B25),"Pending",IF(E25&gt;0,"CANNOT reduce","CAN reduce"))</f>
        <v/>
      </c>
    </row>
    <row r="26">
      <c r="A26" s="12" t="inlineStr">
        <is>
          <t>ZrO2</t>
        </is>
      </c>
      <c r="B26" s="13">
        <f>'Formation Energies'!F22</f>
        <v/>
      </c>
      <c r="C26" s="13">
        <f>'Formation Energies'!Q22</f>
        <v/>
      </c>
      <c r="D26" s="12" t="inlineStr">
        <is>
          <t>=</t>
        </is>
      </c>
      <c r="E26" s="14">
        <f>C26-B26</f>
        <v/>
      </c>
      <c r="F26" s="15">
        <f>IF(ISBLANK(B26),"Pending",IF(E26&gt;0,"CANNOT reduce","CAN reduce"))</f>
        <v/>
      </c>
    </row>
    <row r="27">
      <c r="A27" s="16" t="inlineStr">
        <is>
          <t>Al2O3</t>
        </is>
      </c>
      <c r="B27" s="17">
        <f>'Formation Energies'!G22</f>
        <v/>
      </c>
      <c r="C27" s="17">
        <f>'Formation Energies'!Q22</f>
        <v/>
      </c>
      <c r="D27" s="16" t="inlineStr">
        <is>
          <t>=</t>
        </is>
      </c>
      <c r="E27" s="18">
        <f>C27-B27</f>
        <v/>
      </c>
      <c r="F27" s="19">
        <f>IF(ISBLANK(B27),"Pending",IF(E27&gt;0,"CANNOT reduce","CAN reduce"))</f>
        <v/>
      </c>
    </row>
    <row r="28">
      <c r="A28" s="12" t="inlineStr">
        <is>
          <t>TiO2</t>
        </is>
      </c>
      <c r="B28" s="13">
        <f>'Formation Energies'!H22</f>
        <v/>
      </c>
      <c r="C28" s="13">
        <f>'Formation Energies'!Q22</f>
        <v/>
      </c>
      <c r="D28" s="12" t="inlineStr">
        <is>
          <t>=</t>
        </is>
      </c>
      <c r="E28" s="14">
        <f>C28-B28</f>
        <v/>
      </c>
      <c r="F28" s="15">
        <f>IF(ISBLANK(B28),"Pending",IF(E28&gt;0,"CANNOT reduce","CAN reduce"))</f>
        <v/>
      </c>
    </row>
    <row r="29">
      <c r="A29" s="16" t="inlineStr">
        <is>
          <t>SiO2</t>
        </is>
      </c>
      <c r="B29" s="17">
        <f>'Formation Energies'!I22</f>
        <v/>
      </c>
      <c r="C29" s="17">
        <f>'Formation Energies'!Q22</f>
        <v/>
      </c>
      <c r="D29" s="16" t="inlineStr">
        <is>
          <t>=</t>
        </is>
      </c>
      <c r="E29" s="18">
        <f>C29-B29</f>
        <v/>
      </c>
      <c r="F29" s="19">
        <f>IF(ISBLANK(B29),"Pending",IF(E29&gt;0,"CANNOT reduce","CAN reduce"))</f>
        <v/>
      </c>
    </row>
    <row r="30">
      <c r="A30" s="12" t="inlineStr">
        <is>
          <t>MnO</t>
        </is>
      </c>
      <c r="B30" s="13">
        <f>'Formation Energies'!J22</f>
        <v/>
      </c>
      <c r="C30" s="13">
        <f>'Formation Energies'!Q22</f>
        <v/>
      </c>
      <c r="D30" s="12" t="inlineStr">
        <is>
          <t>=</t>
        </is>
      </c>
      <c r="E30" s="14">
        <f>C30-B30</f>
        <v/>
      </c>
      <c r="F30" s="15">
        <f>IF(ISBLANK(B30),"Pending",IF(E30&gt;0,"CANNOT reduce","CAN reduce"))</f>
        <v/>
      </c>
    </row>
    <row r="31">
      <c r="A31" s="16" t="inlineStr">
        <is>
          <t>Cr2O3</t>
        </is>
      </c>
      <c r="B31" s="17">
        <f>'Formation Energies'!K22</f>
        <v/>
      </c>
      <c r="C31" s="17">
        <f>'Formation Energies'!Q22</f>
        <v/>
      </c>
      <c r="D31" s="16" t="inlineStr">
        <is>
          <t>=</t>
        </is>
      </c>
      <c r="E31" s="18">
        <f>C31-B31</f>
        <v/>
      </c>
      <c r="F31" s="19">
        <f>IF(ISBLANK(B31),"Pending",IF(E31&gt;0,"CANNOT reduce","CAN reduce"))</f>
        <v/>
      </c>
    </row>
    <row r="32">
      <c r="A32" s="12" t="inlineStr">
        <is>
          <t>V2O5</t>
        </is>
      </c>
      <c r="B32" s="13">
        <f>'Formation Energies'!L22</f>
        <v/>
      </c>
      <c r="C32" s="13">
        <f>'Formation Energies'!Q22</f>
        <v/>
      </c>
      <c r="D32" s="12" t="inlineStr">
        <is>
          <t>=</t>
        </is>
      </c>
      <c r="E32" s="14">
        <f>C32-B32</f>
        <v/>
      </c>
      <c r="F32" s="15">
        <f>IF(ISBLANK(B32),"Pending",IF(E32&gt;0,"CANNOT reduce","CAN reduce"))</f>
        <v/>
      </c>
    </row>
    <row r="33">
      <c r="A33" s="16" t="inlineStr">
        <is>
          <t>FeO</t>
        </is>
      </c>
      <c r="B33" s="17">
        <f>'Formation Energies'!M22</f>
        <v/>
      </c>
      <c r="C33" s="17">
        <f>'Formation Energies'!Q22</f>
        <v/>
      </c>
      <c r="D33" s="16" t="inlineStr">
        <is>
          <t>=</t>
        </is>
      </c>
      <c r="E33" s="18">
        <f>C33-B33</f>
        <v/>
      </c>
      <c r="F33" s="19">
        <f>IF(ISBLANK(B33),"Pending",IF(E33&gt;0,"CANNOT reduce","CAN reduce"))</f>
        <v/>
      </c>
    </row>
    <row r="34">
      <c r="A34" s="12" t="inlineStr">
        <is>
          <t>CoO</t>
        </is>
      </c>
      <c r="B34" s="13">
        <f>'Formation Energies'!N22</f>
        <v/>
      </c>
      <c r="C34" s="13">
        <f>'Formation Energies'!Q22</f>
        <v/>
      </c>
      <c r="D34" s="12" t="inlineStr">
        <is>
          <t>=</t>
        </is>
      </c>
      <c r="E34" s="14">
        <f>C34-B34</f>
        <v/>
      </c>
      <c r="F34" s="15">
        <f>IF(ISBLANK(B34),"Pending",IF(E34&gt;0,"CANNOT reduce","CAN reduce"))</f>
        <v/>
      </c>
    </row>
    <row r="35">
      <c r="A35" s="16" t="inlineStr">
        <is>
          <t>NiO</t>
        </is>
      </c>
      <c r="B35" s="17">
        <f>'Formation Energies'!O22</f>
        <v/>
      </c>
      <c r="C35" s="17">
        <f>'Formation Energies'!Q22</f>
        <v/>
      </c>
      <c r="D35" s="16" t="inlineStr">
        <is>
          <t>=</t>
        </is>
      </c>
      <c r="E35" s="18">
        <f>C35-B35</f>
        <v/>
      </c>
      <c r="F35" s="19">
        <f>IF(ISBLANK(B35),"Pending",IF(E35&gt;0,"CANNOT reduce","CAN reduce"))</f>
        <v/>
      </c>
    </row>
    <row r="36">
      <c r="A36" s="12" t="inlineStr">
        <is>
          <t>PbO</t>
        </is>
      </c>
      <c r="B36" s="13">
        <f>'Formation Energies'!P22</f>
        <v/>
      </c>
      <c r="C36" s="13">
        <f>'Formation Energies'!Q22</f>
        <v/>
      </c>
      <c r="D36" s="12" t="inlineStr">
        <is>
          <t>=</t>
        </is>
      </c>
      <c r="E36" s="14">
        <f>C36-B36</f>
        <v/>
      </c>
      <c r="F36" s="15">
        <f>IF(ISBLANK(B36),"Pending",IF(E36&gt;0,"CANNOT reduce","CAN reduce"))</f>
        <v/>
      </c>
    </row>
    <row r="37">
      <c r="A37" s="16" t="inlineStr">
        <is>
          <t>B2O3</t>
        </is>
      </c>
      <c r="B37" s="17">
        <f>'Formation Energies'!S22</f>
        <v/>
      </c>
      <c r="C37" s="17">
        <f>'Formation Energies'!Q22</f>
        <v/>
      </c>
      <c r="D37" s="16" t="inlineStr">
        <is>
          <t>=</t>
        </is>
      </c>
      <c r="E37" s="18">
        <f>C37-B37</f>
        <v/>
      </c>
      <c r="F37" s="19">
        <f>IF(ISBLANK(B37),"Pending",IF(E37&gt;0,"CANNOT reduce","CAN reduce"))</f>
        <v/>
      </c>
    </row>
    <row r="39">
      <c r="A39" s="11" t="inlineStr">
        <is>
          <t>ΔG_rxn at 1527°C (1800 K)</t>
        </is>
      </c>
    </row>
    <row r="40">
      <c r="A40" s="1" t="inlineStr">
        <is>
          <t>Oxide</t>
        </is>
      </c>
      <c r="B40" s="1" t="inlineStr">
        <is>
          <t>ΔGf(oxide) kJ</t>
        </is>
      </c>
      <c r="C40" s="1" t="inlineStr">
        <is>
          <t>ΔGf(Cu₂O) kJ</t>
        </is>
      </c>
      <c r="D40" s="1" t="inlineStr"/>
      <c r="E40" s="1" t="inlineStr">
        <is>
          <t>ΔG_rxn kJ</t>
        </is>
      </c>
      <c r="F40" s="1" t="inlineStr">
        <is>
          <t>Verdict</t>
        </is>
      </c>
    </row>
    <row r="41">
      <c r="A41" s="12" t="inlineStr">
        <is>
          <t>CeO2</t>
        </is>
      </c>
      <c r="B41" s="13">
        <f>'Formation Energies'!B28</f>
        <v/>
      </c>
      <c r="C41" s="13">
        <f>'Formation Energies'!Q28</f>
        <v/>
      </c>
      <c r="D41" s="12" t="inlineStr">
        <is>
          <t>=</t>
        </is>
      </c>
      <c r="E41" s="14">
        <f>C41-B41</f>
        <v/>
      </c>
      <c r="F41" s="15">
        <f>IF(ISBLANK(B41),"Pending",IF(E41&gt;0,"CANNOT reduce","CAN reduce"))</f>
        <v/>
      </c>
    </row>
    <row r="42">
      <c r="A42" s="16" t="inlineStr">
        <is>
          <t>CaO</t>
        </is>
      </c>
      <c r="B42" s="17">
        <f>'Formation Energies'!C28</f>
        <v/>
      </c>
      <c r="C42" s="17">
        <f>'Formation Energies'!Q28</f>
        <v/>
      </c>
      <c r="D42" s="16" t="inlineStr">
        <is>
          <t>=</t>
        </is>
      </c>
      <c r="E42" s="18">
        <f>C42-B42</f>
        <v/>
      </c>
      <c r="F42" s="19">
        <f>IF(ISBLANK(B42),"Pending",IF(E42&gt;0,"CANNOT reduce","CAN reduce"))</f>
        <v/>
      </c>
    </row>
    <row r="43">
      <c r="A43" s="12" t="inlineStr">
        <is>
          <t>La2O3</t>
        </is>
      </c>
      <c r="B43" s="13">
        <f>'Formation Energies'!D28</f>
        <v/>
      </c>
      <c r="C43" s="13">
        <f>'Formation Energies'!Q28</f>
        <v/>
      </c>
      <c r="D43" s="12" t="inlineStr">
        <is>
          <t>=</t>
        </is>
      </c>
      <c r="E43" s="14">
        <f>C43-B43</f>
        <v/>
      </c>
      <c r="F43" s="15">
        <f>IF(ISBLANK(B43),"Pending",IF(E43&gt;0,"CANNOT reduce","CAN reduce"))</f>
        <v/>
      </c>
    </row>
    <row r="44">
      <c r="A44" s="16" t="inlineStr">
        <is>
          <t>MgO</t>
        </is>
      </c>
      <c r="B44" s="17">
        <f>'Formation Energies'!E28</f>
        <v/>
      </c>
      <c r="C44" s="17">
        <f>'Formation Energies'!Q28</f>
        <v/>
      </c>
      <c r="D44" s="16" t="inlineStr">
        <is>
          <t>=</t>
        </is>
      </c>
      <c r="E44" s="18">
        <f>C44-B44</f>
        <v/>
      </c>
      <c r="F44" s="19">
        <f>IF(ISBLANK(B44),"Pending",IF(E44&gt;0,"CANNOT reduce","CAN reduce"))</f>
        <v/>
      </c>
    </row>
    <row r="45">
      <c r="A45" s="12" t="inlineStr">
        <is>
          <t>ZrO2</t>
        </is>
      </c>
      <c r="B45" s="13">
        <f>'Formation Energies'!F28</f>
        <v/>
      </c>
      <c r="C45" s="13">
        <f>'Formation Energies'!Q28</f>
        <v/>
      </c>
      <c r="D45" s="12" t="inlineStr">
        <is>
          <t>=</t>
        </is>
      </c>
      <c r="E45" s="14">
        <f>C45-B45</f>
        <v/>
      </c>
      <c r="F45" s="15">
        <f>IF(ISBLANK(B45),"Pending",IF(E45&gt;0,"CANNOT reduce","CAN reduce"))</f>
        <v/>
      </c>
    </row>
    <row r="46">
      <c r="A46" s="16" t="inlineStr">
        <is>
          <t>Al2O3</t>
        </is>
      </c>
      <c r="B46" s="17">
        <f>'Formation Energies'!G28</f>
        <v/>
      </c>
      <c r="C46" s="17">
        <f>'Formation Energies'!Q28</f>
        <v/>
      </c>
      <c r="D46" s="16" t="inlineStr">
        <is>
          <t>=</t>
        </is>
      </c>
      <c r="E46" s="18">
        <f>C46-B46</f>
        <v/>
      </c>
      <c r="F46" s="19">
        <f>IF(ISBLANK(B46),"Pending",IF(E46&gt;0,"CANNOT reduce","CAN reduce"))</f>
        <v/>
      </c>
    </row>
    <row r="47">
      <c r="A47" s="12" t="inlineStr">
        <is>
          <t>TiO2</t>
        </is>
      </c>
      <c r="B47" s="13">
        <f>'Formation Energies'!H28</f>
        <v/>
      </c>
      <c r="C47" s="13">
        <f>'Formation Energies'!Q28</f>
        <v/>
      </c>
      <c r="D47" s="12" t="inlineStr">
        <is>
          <t>=</t>
        </is>
      </c>
      <c r="E47" s="14">
        <f>C47-B47</f>
        <v/>
      </c>
      <c r="F47" s="15">
        <f>IF(ISBLANK(B47),"Pending",IF(E47&gt;0,"CANNOT reduce","CAN reduce"))</f>
        <v/>
      </c>
    </row>
    <row r="48">
      <c r="A48" s="16" t="inlineStr">
        <is>
          <t>SiO2</t>
        </is>
      </c>
      <c r="B48" s="17">
        <f>'Formation Energies'!I28</f>
        <v/>
      </c>
      <c r="C48" s="17">
        <f>'Formation Energies'!Q28</f>
        <v/>
      </c>
      <c r="D48" s="16" t="inlineStr">
        <is>
          <t>=</t>
        </is>
      </c>
      <c r="E48" s="18">
        <f>C48-B48</f>
        <v/>
      </c>
      <c r="F48" s="19">
        <f>IF(ISBLANK(B48),"Pending",IF(E48&gt;0,"CANNOT reduce","CAN reduce"))</f>
        <v/>
      </c>
    </row>
    <row r="49">
      <c r="A49" s="12" t="inlineStr">
        <is>
          <t>MnO</t>
        </is>
      </c>
      <c r="B49" s="13">
        <f>'Formation Energies'!J28</f>
        <v/>
      </c>
      <c r="C49" s="13">
        <f>'Formation Energies'!Q28</f>
        <v/>
      </c>
      <c r="D49" s="12" t="inlineStr">
        <is>
          <t>=</t>
        </is>
      </c>
      <c r="E49" s="14">
        <f>C49-B49</f>
        <v/>
      </c>
      <c r="F49" s="15">
        <f>IF(ISBLANK(B49),"Pending",IF(E49&gt;0,"CANNOT reduce","CAN reduce"))</f>
        <v/>
      </c>
    </row>
    <row r="50">
      <c r="A50" s="16" t="inlineStr">
        <is>
          <t>Cr2O3</t>
        </is>
      </c>
      <c r="B50" s="17">
        <f>'Formation Energies'!K28</f>
        <v/>
      </c>
      <c r="C50" s="17">
        <f>'Formation Energies'!Q28</f>
        <v/>
      </c>
      <c r="D50" s="16" t="inlineStr">
        <is>
          <t>=</t>
        </is>
      </c>
      <c r="E50" s="18">
        <f>C50-B50</f>
        <v/>
      </c>
      <c r="F50" s="19">
        <f>IF(ISBLANK(B50),"Pending",IF(E50&gt;0,"CANNOT reduce","CAN reduce"))</f>
        <v/>
      </c>
    </row>
    <row r="51">
      <c r="A51" s="12" t="inlineStr">
        <is>
          <t>V2O5</t>
        </is>
      </c>
      <c r="B51" s="13">
        <f>'Formation Energies'!L28</f>
        <v/>
      </c>
      <c r="C51" s="13">
        <f>'Formation Energies'!Q28</f>
        <v/>
      </c>
      <c r="D51" s="12" t="inlineStr">
        <is>
          <t>=</t>
        </is>
      </c>
      <c r="E51" s="14">
        <f>C51-B51</f>
        <v/>
      </c>
      <c r="F51" s="15">
        <f>IF(ISBLANK(B51),"Pending",IF(E51&gt;0,"CANNOT reduce","CAN reduce"))</f>
        <v/>
      </c>
    </row>
    <row r="52">
      <c r="A52" s="16" t="inlineStr">
        <is>
          <t>FeO</t>
        </is>
      </c>
      <c r="B52" s="17">
        <f>'Formation Energies'!M28</f>
        <v/>
      </c>
      <c r="C52" s="17">
        <f>'Formation Energies'!Q28</f>
        <v/>
      </c>
      <c r="D52" s="16" t="inlineStr">
        <is>
          <t>=</t>
        </is>
      </c>
      <c r="E52" s="18">
        <f>C52-B52</f>
        <v/>
      </c>
      <c r="F52" s="19">
        <f>IF(ISBLANK(B52),"Pending",IF(E52&gt;0,"CANNOT reduce","CAN reduce"))</f>
        <v/>
      </c>
    </row>
    <row r="53">
      <c r="A53" s="12" t="inlineStr">
        <is>
          <t>CoO</t>
        </is>
      </c>
      <c r="B53" s="13">
        <f>'Formation Energies'!N28</f>
        <v/>
      </c>
      <c r="C53" s="13">
        <f>'Formation Energies'!Q28</f>
        <v/>
      </c>
      <c r="D53" s="12" t="inlineStr">
        <is>
          <t>=</t>
        </is>
      </c>
      <c r="E53" s="14">
        <f>C53-B53</f>
        <v/>
      </c>
      <c r="F53" s="15">
        <f>IF(ISBLANK(B53),"Pending",IF(E53&gt;0,"CANNOT reduce","CAN reduce"))</f>
        <v/>
      </c>
    </row>
    <row r="54">
      <c r="A54" s="16" t="inlineStr">
        <is>
          <t>NiO</t>
        </is>
      </c>
      <c r="B54" s="17">
        <f>'Formation Energies'!O28</f>
        <v/>
      </c>
      <c r="C54" s="17">
        <f>'Formation Energies'!Q28</f>
        <v/>
      </c>
      <c r="D54" s="16" t="inlineStr">
        <is>
          <t>=</t>
        </is>
      </c>
      <c r="E54" s="18">
        <f>C54-B54</f>
        <v/>
      </c>
      <c r="F54" s="19">
        <f>IF(ISBLANK(B54),"Pending",IF(E54&gt;0,"CANNOT reduce","CAN reduce"))</f>
        <v/>
      </c>
    </row>
    <row r="55">
      <c r="A55" s="12" t="inlineStr">
        <is>
          <t>PbO</t>
        </is>
      </c>
      <c r="B55" s="13">
        <f>'Formation Energies'!P28</f>
        <v/>
      </c>
      <c r="C55" s="13">
        <f>'Formation Energies'!Q28</f>
        <v/>
      </c>
      <c r="D55" s="12" t="inlineStr">
        <is>
          <t>=</t>
        </is>
      </c>
      <c r="E55" s="14">
        <f>C55-B55</f>
        <v/>
      </c>
      <c r="F55" s="15">
        <f>IF(ISBLANK(B55),"Pending",IF(E55&gt;0,"CANNOT reduce","CAN reduce"))</f>
        <v/>
      </c>
    </row>
    <row r="56">
      <c r="A56" s="16" t="inlineStr">
        <is>
          <t>B2O3</t>
        </is>
      </c>
      <c r="B56" s="17">
        <f>'Formation Energies'!S28</f>
        <v/>
      </c>
      <c r="C56" s="17">
        <f>'Formation Energies'!Q28</f>
        <v/>
      </c>
      <c r="D56" s="16" t="inlineStr">
        <is>
          <t>=</t>
        </is>
      </c>
      <c r="E56" s="18">
        <f>C56-B56</f>
        <v/>
      </c>
      <c r="F56" s="19">
        <f>IF(ISBLANK(B56),"Pending",IF(E56&gt;0,"CANNOT reduce","CAN reduce"))</f>
        <v/>
      </c>
    </row>
  </sheetData>
  <mergeCells count="3">
    <mergeCell ref="A20:F20"/>
    <mergeCell ref="A39:F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30" customWidth="1" min="3" max="3"/>
    <col width="10" customWidth="1" min="4" max="4"/>
  </cols>
  <sheetData>
    <row r="1">
      <c r="A1" s="11" t="inlineStr">
        <is>
          <t>HOW TC-PYTHON VALUES ARE NORMALIZED</t>
        </is>
      </c>
    </row>
    <row r="2">
      <c r="A2" s="20" t="inlineStr"/>
    </row>
    <row r="3">
      <c r="A3" s="20" t="inlineStr">
        <is>
          <t>Thermo-Calc reports GM = Gibbs energy per mole of ATOMS</t>
        </is>
      </c>
    </row>
    <row r="4">
      <c r="A4" s="20" t="inlineStr">
        <is>
          <t>We need: ΔGf per mole of O₂ (for Ellingham comparison)</t>
        </is>
      </c>
    </row>
    <row r="5">
      <c r="A5" s="20" t="inlineStr"/>
    </row>
    <row r="6">
      <c r="A6" s="20" t="inlineStr">
        <is>
          <t>Step 1: GM (J/mol atoms) × atoms_per_formula = G per formula unit</t>
        </is>
      </c>
    </row>
    <row r="7">
      <c r="A7" s="20" t="inlineStr">
        <is>
          <t>Step 2: G per formula / oxide_per_O₂ = ΔGf per mol O₂</t>
        </is>
      </c>
    </row>
    <row r="8">
      <c r="A8" s="20" t="inlineStr"/>
    </row>
    <row r="9">
      <c r="A9" s="11" t="inlineStr">
        <is>
          <t>STOICHIOMETRY TABLE</t>
        </is>
      </c>
    </row>
    <row r="10">
      <c r="A10" s="21" t="inlineStr">
        <is>
          <t>Oxide</t>
        </is>
      </c>
      <c r="B10" s="21" t="inlineStr">
        <is>
          <t>Atoms</t>
        </is>
      </c>
      <c r="C10" s="21" t="inlineStr">
        <is>
          <t>Balanced Reaction</t>
        </is>
      </c>
      <c r="D10" s="21" t="inlineStr">
        <is>
          <t>oxide/O₂</t>
        </is>
      </c>
    </row>
    <row r="11">
      <c r="A11" s="22" t="inlineStr">
        <is>
          <t>Cu₂O</t>
        </is>
      </c>
      <c r="B11" s="22" t="n">
        <v>3</v>
      </c>
      <c r="C11" s="22" t="inlineStr">
        <is>
          <t>4Cu + O₂ → 2Cu₂O</t>
        </is>
      </c>
      <c r="D11" s="22" t="n">
        <v>2</v>
      </c>
    </row>
    <row r="12">
      <c r="A12" s="23" t="inlineStr">
        <is>
          <t>Al₂O₃</t>
        </is>
      </c>
      <c r="B12" s="23" t="n">
        <v>5</v>
      </c>
      <c r="C12" s="23" t="inlineStr">
        <is>
          <t>4/3 Al + O₂ → 2/3 Al₂O₃</t>
        </is>
      </c>
      <c r="D12" s="23" t="n">
        <v>0.667</v>
      </c>
    </row>
    <row r="13">
      <c r="A13" s="22" t="inlineStr">
        <is>
          <t>MgO</t>
        </is>
      </c>
      <c r="B13" s="22" t="n">
        <v>2</v>
      </c>
      <c r="C13" s="22" t="inlineStr">
        <is>
          <t>2Mg + O₂ → 2MgO</t>
        </is>
      </c>
      <c r="D13" s="22" t="n">
        <v>2</v>
      </c>
    </row>
    <row r="14">
      <c r="A14" s="23" t="inlineStr">
        <is>
          <t>SiO₂</t>
        </is>
      </c>
      <c r="B14" s="23" t="n">
        <v>3</v>
      </c>
      <c r="C14" s="23" t="inlineStr">
        <is>
          <t>Si + O₂ → SiO₂</t>
        </is>
      </c>
      <c r="D14" s="23" t="n">
        <v>1</v>
      </c>
    </row>
    <row r="15">
      <c r="A15" s="22" t="inlineStr">
        <is>
          <t>TiO₂</t>
        </is>
      </c>
      <c r="B15" s="22" t="n">
        <v>3</v>
      </c>
      <c r="C15" s="22" t="inlineStr">
        <is>
          <t>Ti + O₂ → TiO₂</t>
        </is>
      </c>
      <c r="D15" s="22" t="n">
        <v>1</v>
      </c>
    </row>
    <row r="16">
      <c r="A16" s="23" t="inlineStr">
        <is>
          <t>FeO</t>
        </is>
      </c>
      <c r="B16" s="23" t="n">
        <v>2</v>
      </c>
      <c r="C16" s="23" t="inlineStr">
        <is>
          <t>2Fe + O₂ → 2FeO</t>
        </is>
      </c>
      <c r="D16" s="23" t="n">
        <v>2</v>
      </c>
    </row>
    <row r="17">
      <c r="A17" s="22" t="inlineStr">
        <is>
          <t>CaO</t>
        </is>
      </c>
      <c r="B17" s="22" t="n">
        <v>2</v>
      </c>
      <c r="C17" s="22" t="inlineStr">
        <is>
          <t>2Ca + O₂ → 2CaO</t>
        </is>
      </c>
      <c r="D17" s="22" t="n">
        <v>2</v>
      </c>
    </row>
    <row r="18">
      <c r="A18" s="23" t="inlineStr">
        <is>
          <t>V₂O₅</t>
        </is>
      </c>
      <c r="B18" s="23" t="n">
        <v>7</v>
      </c>
      <c r="C18" s="23" t="inlineStr">
        <is>
          <t>4/5 V + O₂ → 2/5 V₂O₅</t>
        </is>
      </c>
      <c r="D18" s="23" t="n">
        <v>0.4</v>
      </c>
    </row>
    <row r="19">
      <c r="A19" s="22" t="inlineStr">
        <is>
          <t>B₂O₃</t>
        </is>
      </c>
      <c r="B19" s="22" t="n">
        <v>5</v>
      </c>
      <c r="C19" s="22" t="inlineStr">
        <is>
          <t>4/3 B + O₂ → 2/3 B₂O₃</t>
        </is>
      </c>
      <c r="D19" s="22" t="n">
        <v>0.667</v>
      </c>
    </row>
    <row r="20">
      <c r="A20" s="23" t="inlineStr">
        <is>
          <t>La₂O₃</t>
        </is>
      </c>
      <c r="B20" s="23" t="n">
        <v>5</v>
      </c>
      <c r="C20" s="23" t="inlineStr">
        <is>
          <t>4/3 La + O₂ → 2/3 La₂O₃</t>
        </is>
      </c>
      <c r="D20" s="23" t="n">
        <v>0.667</v>
      </c>
    </row>
    <row r="21">
      <c r="A21" s="22" t="inlineStr">
        <is>
          <t>CeO₂</t>
        </is>
      </c>
      <c r="B21" s="22" t="n">
        <v>3</v>
      </c>
      <c r="C21" s="22" t="inlineStr">
        <is>
          <t>Ce + O₂ → CeO₂</t>
        </is>
      </c>
      <c r="D21" s="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7" customWidth="1" min="4" max="4"/>
    <col width="8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  <col width="22" customWidth="1" min="11" max="11"/>
    <col width="10" customWidth="1" min="12" max="12"/>
  </cols>
  <sheetData>
    <row r="1">
      <c r="A1" s="1" t="inlineStr">
        <is>
          <t>Oxide</t>
        </is>
      </c>
      <c r="B1" s="1" t="inlineStr">
        <is>
          <t>Density</t>
        </is>
      </c>
      <c r="C1" s="1" t="inlineStr">
        <is>
          <t>Tm (°C)</t>
        </is>
      </c>
      <c r="D1" s="1" t="inlineStr">
        <is>
          <t>Floats?</t>
        </is>
      </c>
      <c r="E1" s="1" t="inlineStr">
        <is>
          <t>Solid?</t>
        </is>
      </c>
      <c r="F1" s="1" t="inlineStr">
        <is>
          <t>ΔG 727°C</t>
        </is>
      </c>
      <c r="G1" s="1" t="inlineStr">
        <is>
          <t>ΔG 1227°C</t>
        </is>
      </c>
      <c r="H1" s="1" t="inlineStr">
        <is>
          <t>ΔG 1527°C</t>
        </is>
      </c>
      <c r="I1" s="1" t="inlineStr">
        <is>
          <t>Reducible?</t>
        </is>
      </c>
      <c r="J1" s="1" t="inlineStr">
        <is>
          <t>$/g</t>
        </is>
      </c>
      <c r="K1" s="1" t="inlineStr">
        <is>
          <t>Toxicity</t>
        </is>
      </c>
      <c r="L1" s="1" t="inlineStr">
        <is>
          <t>Source</t>
        </is>
      </c>
    </row>
    <row r="2">
      <c r="A2" s="12" t="inlineStr">
        <is>
          <t>CeO2</t>
        </is>
      </c>
      <c r="B2" s="24" t="n">
        <v>7.22</v>
      </c>
      <c r="C2" s="24" t="n">
        <v>2400</v>
      </c>
      <c r="D2" s="24" t="inlineStr">
        <is>
          <t>No</t>
        </is>
      </c>
      <c r="E2" s="24" t="inlineStr">
        <is>
          <t>Yes</t>
        </is>
      </c>
      <c r="F2" s="25" t="n">
        <v>997.176410439688</v>
      </c>
      <c r="G2" s="25" t="n">
        <v>1156.310100552693</v>
      </c>
      <c r="H2" s="25" t="n">
        <v>1240.711951535208</v>
      </c>
      <c r="I2" s="24" t="inlineStr">
        <is>
          <t>No</t>
        </is>
      </c>
      <c r="J2" s="26" t="n">
        <v>0.006</v>
      </c>
      <c r="K2" s="24" t="inlineStr">
        <is>
          <t>Low</t>
        </is>
      </c>
      <c r="L2" s="27" t="inlineStr">
        <is>
          <t>SSUB3</t>
        </is>
      </c>
    </row>
    <row r="3">
      <c r="A3" s="16" t="inlineStr">
        <is>
          <t>CaO</t>
        </is>
      </c>
      <c r="B3" s="28" t="n">
        <v>3.34</v>
      </c>
      <c r="C3" s="28" t="n">
        <v>2613</v>
      </c>
      <c r="D3" s="28" t="inlineStr">
        <is>
          <t>Yes</t>
        </is>
      </c>
      <c r="E3" s="28" t="inlineStr">
        <is>
          <t>Yes</t>
        </is>
      </c>
      <c r="F3" s="29" t="n">
        <v>870.2192184169537</v>
      </c>
      <c r="G3" s="29" t="n">
        <v>836.4403201913545</v>
      </c>
      <c r="H3" s="29" t="n">
        <v>791.3091397887691</v>
      </c>
      <c r="I3" s="28" t="inlineStr">
        <is>
          <t>No</t>
        </is>
      </c>
      <c r="J3" s="30" t="n">
        <v>0.0002</v>
      </c>
      <c r="K3" s="28" t="inlineStr">
        <is>
          <t>Low</t>
        </is>
      </c>
      <c r="L3" s="31" t="inlineStr">
        <is>
          <t>TCOX14</t>
        </is>
      </c>
    </row>
    <row r="4">
      <c r="A4" s="12" t="inlineStr">
        <is>
          <t>La2O3</t>
        </is>
      </c>
      <c r="B4" s="24" t="n">
        <v>6.51</v>
      </c>
      <c r="C4" s="24" t="n">
        <v>2315</v>
      </c>
      <c r="D4" s="24" t="inlineStr">
        <is>
          <t>Yes</t>
        </is>
      </c>
      <c r="E4" s="24" t="inlineStr">
        <is>
          <t>Yes</t>
        </is>
      </c>
      <c r="F4" s="25" t="n">
        <v>812.9932359534887</v>
      </c>
      <c r="G4" s="25" t="n">
        <v>795.1855288534201</v>
      </c>
      <c r="H4" s="25" t="n">
        <v>766.2790754363556</v>
      </c>
      <c r="I4" s="24" t="inlineStr">
        <is>
          <t>No</t>
        </is>
      </c>
      <c r="J4" s="26" t="n">
        <v>0.01</v>
      </c>
      <c r="K4" s="24" t="inlineStr">
        <is>
          <t>Low-Moderate</t>
        </is>
      </c>
      <c r="L4" s="27" t="inlineStr">
        <is>
          <t>TCOX14</t>
        </is>
      </c>
    </row>
    <row r="5">
      <c r="A5" s="16" t="inlineStr">
        <is>
          <t>MgO</t>
        </is>
      </c>
      <c r="B5" s="28" t="n">
        <v>3.58</v>
      </c>
      <c r="C5" s="28" t="n">
        <v>2852</v>
      </c>
      <c r="D5" s="28" t="inlineStr">
        <is>
          <t>Yes</t>
        </is>
      </c>
      <c r="E5" s="28" t="inlineStr">
        <is>
          <t>Yes</t>
        </is>
      </c>
      <c r="F5" s="29" t="n">
        <v>795.9526219778686</v>
      </c>
      <c r="G5" s="29" t="n">
        <v>736.4880161626211</v>
      </c>
      <c r="H5" s="29" t="n">
        <v>642.8620279630527</v>
      </c>
      <c r="I5" s="28" t="inlineStr">
        <is>
          <t>No</t>
        </is>
      </c>
      <c r="J5" s="30" t="n">
        <v>0.0003</v>
      </c>
      <c r="K5" s="28" t="inlineStr">
        <is>
          <t>Low</t>
        </is>
      </c>
      <c r="L5" s="31" t="inlineStr">
        <is>
          <t>TCOX14</t>
        </is>
      </c>
    </row>
    <row r="6">
      <c r="A6" s="12" t="inlineStr">
        <is>
          <t>ZrO2</t>
        </is>
      </c>
      <c r="B6" s="24" t="n">
        <v>5.68</v>
      </c>
      <c r="C6" s="24" t="n">
        <v>2715</v>
      </c>
      <c r="D6" s="24" t="inlineStr">
        <is>
          <t>Yes</t>
        </is>
      </c>
      <c r="E6" s="24" t="inlineStr">
        <is>
          <t>Yes</t>
        </is>
      </c>
      <c r="F6" s="25" t="n">
        <v>718.5932321662128</v>
      </c>
      <c r="G6" s="25" t="n">
        <v>702.0665220139746</v>
      </c>
      <c r="H6" s="25" t="n">
        <v>675.6992805726175</v>
      </c>
      <c r="I6" s="24" t="inlineStr">
        <is>
          <t>No</t>
        </is>
      </c>
      <c r="J6" s="26" t="n">
        <v>0.035</v>
      </c>
      <c r="K6" s="24" t="inlineStr">
        <is>
          <t>Low</t>
        </is>
      </c>
      <c r="L6" s="27" t="inlineStr">
        <is>
          <t>TCOX14</t>
        </is>
      </c>
    </row>
    <row r="7">
      <c r="A7" s="16" t="inlineStr">
        <is>
          <t>Al2O3</t>
        </is>
      </c>
      <c r="B7" s="28" t="n">
        <v>3.95</v>
      </c>
      <c r="C7" s="28" t="n">
        <v>2072</v>
      </c>
      <c r="D7" s="28" t="inlineStr">
        <is>
          <t>Yes</t>
        </is>
      </c>
      <c r="E7" s="28" t="inlineStr">
        <is>
          <t>Yes</t>
        </is>
      </c>
      <c r="F7" s="29" t="n">
        <v>716.7173113289498</v>
      </c>
      <c r="G7" s="29" t="n">
        <v>682.6687092047364</v>
      </c>
      <c r="H7" s="29" t="n">
        <v>644.8222226505188</v>
      </c>
      <c r="I7" s="28" t="inlineStr">
        <is>
          <t>No</t>
        </is>
      </c>
      <c r="J7" s="30" t="n">
        <v>0.0005</v>
      </c>
      <c r="K7" s="28" t="inlineStr">
        <is>
          <t>Low</t>
        </is>
      </c>
      <c r="L7" s="31" t="inlineStr">
        <is>
          <t>TCOX14</t>
        </is>
      </c>
    </row>
    <row r="8">
      <c r="A8" s="12" t="inlineStr">
        <is>
          <t>TiO2</t>
        </is>
      </c>
      <c r="B8" s="24" t="n">
        <v>4.23</v>
      </c>
      <c r="C8" s="24" t="n">
        <v>1843</v>
      </c>
      <c r="D8" s="24" t="inlineStr">
        <is>
          <t>Yes</t>
        </is>
      </c>
      <c r="E8" s="24" t="inlineStr">
        <is>
          <t>Yes</t>
        </is>
      </c>
      <c r="F8" s="25" t="n">
        <v>569.3889463674802</v>
      </c>
      <c r="G8" s="25" t="n">
        <v>556.6679052290083</v>
      </c>
      <c r="H8" s="25" t="n">
        <v>531.2981945804858</v>
      </c>
      <c r="I8" s="24" t="inlineStr">
        <is>
          <t>No</t>
        </is>
      </c>
      <c r="J8" s="26" t="n">
        <v>0.003</v>
      </c>
      <c r="K8" s="24" t="inlineStr">
        <is>
          <t>Low</t>
        </is>
      </c>
      <c r="L8" s="27" t="inlineStr">
        <is>
          <t>TCOX14</t>
        </is>
      </c>
    </row>
    <row r="9">
      <c r="A9" s="16" t="inlineStr">
        <is>
          <t>SiO2</t>
        </is>
      </c>
      <c r="B9" s="28" t="n">
        <v>2.65</v>
      </c>
      <c r="C9" s="28" t="n">
        <v>1713</v>
      </c>
      <c r="D9" s="28" t="inlineStr">
        <is>
          <t>Yes</t>
        </is>
      </c>
      <c r="E9" s="28" t="inlineStr">
        <is>
          <t>Yes</t>
        </is>
      </c>
      <c r="F9" s="29" t="n">
        <v>539.3696799238344</v>
      </c>
      <c r="G9" s="29" t="n">
        <v>529.4276545104799</v>
      </c>
      <c r="H9" s="29" t="n">
        <v>502.720485707874</v>
      </c>
      <c r="I9" s="28" t="inlineStr">
        <is>
          <t>No</t>
        </is>
      </c>
      <c r="J9" s="30" t="n">
        <v>5e-05</v>
      </c>
      <c r="K9" s="28" t="inlineStr">
        <is>
          <t>Low (silicosis)</t>
        </is>
      </c>
      <c r="L9" s="31" t="inlineStr">
        <is>
          <t>TCOX14</t>
        </is>
      </c>
    </row>
    <row r="10">
      <c r="A10" s="12" t="inlineStr">
        <is>
          <t>MnO</t>
        </is>
      </c>
      <c r="B10" s="24" t="n">
        <v>5.43</v>
      </c>
      <c r="C10" s="24" t="n">
        <v>1842</v>
      </c>
      <c r="D10" s="24" t="inlineStr">
        <is>
          <t>Yes</t>
        </is>
      </c>
      <c r="E10" s="24" t="inlineStr">
        <is>
          <t>Yes</t>
        </is>
      </c>
      <c r="F10" s="25" t="n">
        <v>434.0671356646179</v>
      </c>
      <c r="G10" s="25" t="n">
        <v>433.903241534569</v>
      </c>
      <c r="H10" s="25" t="n">
        <v>408.894023554667</v>
      </c>
      <c r="I10" s="24" t="inlineStr">
        <is>
          <t>No</t>
        </is>
      </c>
      <c r="J10" s="26" t="n">
        <v>0.005</v>
      </c>
      <c r="K10" s="24" t="inlineStr">
        <is>
          <t>Low</t>
        </is>
      </c>
      <c r="L10" s="27" t="inlineStr">
        <is>
          <t>TCOX14</t>
        </is>
      </c>
    </row>
    <row r="11">
      <c r="A11" s="16" t="inlineStr">
        <is>
          <t>Cr2O3</t>
        </is>
      </c>
      <c r="B11" s="28" t="n">
        <v>5.22</v>
      </c>
      <c r="C11" s="28" t="n">
        <v>2435</v>
      </c>
      <c r="D11" s="28" t="inlineStr">
        <is>
          <t>Yes</t>
        </is>
      </c>
      <c r="E11" s="28" t="inlineStr">
        <is>
          <t>Yes</t>
        </is>
      </c>
      <c r="F11" s="29" t="n">
        <v>385.6932755397189</v>
      </c>
      <c r="G11" s="29" t="n">
        <v>377.815074714703</v>
      </c>
      <c r="H11" s="29" t="n">
        <v>354.838962051855</v>
      </c>
      <c r="I11" s="28" t="inlineStr">
        <is>
          <t>No</t>
        </is>
      </c>
      <c r="J11" s="30" t="n">
        <v>0.005</v>
      </c>
      <c r="K11" s="28" t="inlineStr">
        <is>
          <t>Moderate (Cr VI)</t>
        </is>
      </c>
      <c r="L11" s="31" t="inlineStr">
        <is>
          <t>TCOX14</t>
        </is>
      </c>
    </row>
    <row r="12">
      <c r="A12" s="32" t="inlineStr">
        <is>
          <t>V2O5</t>
        </is>
      </c>
      <c r="B12" s="33" t="n">
        <v>3.36</v>
      </c>
      <c r="C12" s="33" t="n">
        <v>690</v>
      </c>
      <c r="D12" s="33" t="inlineStr">
        <is>
          <t>Yes</t>
        </is>
      </c>
      <c r="E12" s="33" t="inlineStr">
        <is>
          <t>LIQUID</t>
        </is>
      </c>
      <c r="F12" s="34" t="n">
        <v>257.218656522464</v>
      </c>
      <c r="G12" s="34" t="n">
        <v>266.9982607973439</v>
      </c>
      <c r="H12" s="34" t="n">
        <v>259.4176758391675</v>
      </c>
      <c r="I12" s="33" t="inlineStr">
        <is>
          <t>No</t>
        </is>
      </c>
      <c r="J12" s="35" t="n">
        <v>0.011</v>
      </c>
      <c r="K12" s="33" t="inlineStr">
        <is>
          <t>HIGH - Carc. 1B</t>
        </is>
      </c>
      <c r="L12" s="36" t="inlineStr">
        <is>
          <t>TCOX14</t>
        </is>
      </c>
    </row>
    <row r="13">
      <c r="A13" s="16" t="inlineStr">
        <is>
          <t>FeO</t>
        </is>
      </c>
      <c r="B13" s="28" t="n">
        <v>5.74</v>
      </c>
      <c r="C13" s="28" t="n">
        <v>1377</v>
      </c>
      <c r="D13" s="28" t="inlineStr">
        <is>
          <t>Yes</t>
        </is>
      </c>
      <c r="E13" s="28" t="inlineStr">
        <is>
          <t>LIQUID</t>
        </is>
      </c>
      <c r="F13" s="29" t="n">
        <v>220.3786238510149</v>
      </c>
      <c r="G13" s="29" t="n">
        <v>230.7342226643402</v>
      </c>
      <c r="H13" s="29" t="n">
        <v>213.8079839998335</v>
      </c>
      <c r="I13" s="28" t="inlineStr">
        <is>
          <t>No</t>
        </is>
      </c>
      <c r="J13" s="30" t="n">
        <v>0.0009</v>
      </c>
      <c r="K13" s="28" t="inlineStr">
        <is>
          <t>Low</t>
        </is>
      </c>
      <c r="L13" s="31" t="inlineStr">
        <is>
          <t>TCOX14</t>
        </is>
      </c>
    </row>
    <row r="14">
      <c r="A14" s="32" t="inlineStr">
        <is>
          <t>CoO</t>
        </is>
      </c>
      <c r="B14" s="33" t="n">
        <v>6.44</v>
      </c>
      <c r="C14" s="33" t="n">
        <v>1830</v>
      </c>
      <c r="D14" s="33" t="inlineStr">
        <is>
          <t>Yes</t>
        </is>
      </c>
      <c r="E14" s="33" t="inlineStr">
        <is>
          <t>Yes</t>
        </is>
      </c>
      <c r="F14" s="34" t="n">
        <v>134.8996376127765</v>
      </c>
      <c r="G14" s="34" t="n">
        <v>141.2803567226338</v>
      </c>
      <c r="H14" s="34" t="n">
        <v>126.618759676311</v>
      </c>
      <c r="I14" s="33" t="inlineStr">
        <is>
          <t>No</t>
        </is>
      </c>
      <c r="J14" s="35" t="n">
        <v>0.018</v>
      </c>
      <c r="K14" s="33" t="inlineStr">
        <is>
          <t>HIGH - Carc. 1B</t>
        </is>
      </c>
      <c r="L14" s="36" t="inlineStr">
        <is>
          <t>TCOX14</t>
        </is>
      </c>
    </row>
    <row r="15">
      <c r="A15" s="32" t="inlineStr">
        <is>
          <t>NiO</t>
        </is>
      </c>
      <c r="B15" s="33" t="n">
        <v>6.67</v>
      </c>
      <c r="C15" s="33" t="n">
        <v>1955</v>
      </c>
      <c r="D15" s="33" t="inlineStr">
        <is>
          <t>Yes</t>
        </is>
      </c>
      <c r="E15" s="33" t="inlineStr">
        <is>
          <t>Yes</t>
        </is>
      </c>
      <c r="F15" s="34" t="n">
        <v>107.5408866133889</v>
      </c>
      <c r="G15" s="34" t="n">
        <v>99.5065630489029</v>
      </c>
      <c r="H15" s="34" t="n">
        <v>76.02293325153424</v>
      </c>
      <c r="I15" s="33" t="inlineStr">
        <is>
          <t>No</t>
        </is>
      </c>
      <c r="J15" s="35" t="n">
        <v>0.016</v>
      </c>
      <c r="K15" s="33" t="inlineStr">
        <is>
          <t>HIGH - IARC Grp 1</t>
        </is>
      </c>
      <c r="L15" s="36" t="inlineStr">
        <is>
          <t>TCOX14</t>
        </is>
      </c>
    </row>
    <row r="16">
      <c r="A16" s="32" t="inlineStr">
        <is>
          <t>PbO</t>
        </is>
      </c>
      <c r="B16" s="33" t="n">
        <v>9.529999999999999</v>
      </c>
      <c r="C16" s="33" t="n">
        <v>888</v>
      </c>
      <c r="D16" s="33" t="inlineStr">
        <is>
          <t>No</t>
        </is>
      </c>
      <c r="E16" s="33" t="inlineStr">
        <is>
          <t>LIQUID</t>
        </is>
      </c>
      <c r="F16" s="37" t="n">
        <v>-34.73941666031198</v>
      </c>
      <c r="G16" s="34" t="n">
        <v>81.02583535269237</v>
      </c>
      <c r="H16" s="34" t="n">
        <v>136.1552920352077</v>
      </c>
      <c r="I16" s="33" t="inlineStr">
        <is>
          <t>No</t>
        </is>
      </c>
      <c r="J16" s="35" t="n">
        <v>0.004</v>
      </c>
      <c r="K16" s="33" t="inlineStr">
        <is>
          <t>HIGH - neurotoxin</t>
        </is>
      </c>
      <c r="L16" s="36" t="inlineStr">
        <is>
          <t>SSUB3</t>
        </is>
      </c>
    </row>
    <row r="17">
      <c r="A17" s="16" t="inlineStr">
        <is>
          <t>CuO</t>
        </is>
      </c>
      <c r="B17" s="28" t="n">
        <v>6.31</v>
      </c>
      <c r="C17" s="28" t="n">
        <v>1326</v>
      </c>
      <c r="D17" s="28" t="inlineStr">
        <is>
          <t>Yes</t>
        </is>
      </c>
      <c r="E17" s="28" t="inlineStr">
        <is>
          <t>LIQUID</t>
        </is>
      </c>
      <c r="F17" s="38" t="n">
        <v>-58.80589050160663</v>
      </c>
      <c r="G17" s="38" t="n">
        <v>-51.73128594025172</v>
      </c>
      <c r="H17" s="38" t="n">
        <v>-40.99015583836951</v>
      </c>
      <c r="I17" s="28" t="inlineStr">
        <is>
          <t>Trivially</t>
        </is>
      </c>
      <c r="J17" s="30" t="n">
        <v>0.008</v>
      </c>
      <c r="K17" s="28" t="inlineStr">
        <is>
          <t>Moderate - aquatic</t>
        </is>
      </c>
      <c r="L17" s="31" t="inlineStr">
        <is>
          <t>TCOX14</t>
        </is>
      </c>
    </row>
    <row r="18">
      <c r="A18" s="12" t="inlineStr">
        <is>
          <t>B2O3</t>
        </is>
      </c>
      <c r="B18" s="24" t="n">
        <v>2.55</v>
      </c>
      <c r="C18" s="24" t="n">
        <v>450</v>
      </c>
      <c r="D18" s="24" t="inlineStr">
        <is>
          <t>Yes</t>
        </is>
      </c>
      <c r="E18" s="24" t="inlineStr">
        <is>
          <t>LIQUID</t>
        </is>
      </c>
      <c r="F18" s="39" t="inlineStr">
        <is>
          <t>Pending</t>
        </is>
      </c>
      <c r="G18" s="39" t="inlineStr">
        <is>
          <t>Pending</t>
        </is>
      </c>
      <c r="H18" s="25" t="n">
        <v>481.1041698284617</v>
      </c>
      <c r="I18" s="24" t="inlineStr">
        <is>
          <t>No</t>
        </is>
      </c>
      <c r="J18" s="26" t="n">
        <v>0.003</v>
      </c>
      <c r="K18" s="24" t="inlineStr">
        <is>
          <t>Moderate - Repr.1B</t>
        </is>
      </c>
      <c r="L18" s="27" t="inlineStr">
        <is>
          <t>TCOX14 (partial)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4" customWidth="1" min="4" max="4"/>
    <col width="10" customWidth="1" min="5" max="5"/>
    <col width="55" customWidth="1" min="6" max="6"/>
    <col width="18" customWidth="1" min="7" max="7"/>
  </cols>
  <sheetData>
    <row r="1">
      <c r="A1" s="1" t="inlineStr">
        <is>
          <t>Oxide</t>
        </is>
      </c>
      <c r="B1" s="1" t="inlineStr">
        <is>
          <t>CAS</t>
        </is>
      </c>
      <c r="C1" s="1" t="inlineStr">
        <is>
          <t>Lab $/g</t>
        </is>
      </c>
      <c r="D1" s="1" t="inlineStr">
        <is>
          <t>Industrial $/g</t>
        </is>
      </c>
      <c r="E1" s="1" t="inlineStr">
        <is>
          <t>Sigma #</t>
        </is>
      </c>
      <c r="F1" s="1" t="inlineStr">
        <is>
          <t>SDS Link</t>
        </is>
      </c>
      <c r="G1" s="1" t="inlineStr">
        <is>
          <t>Hazard</t>
        </is>
      </c>
    </row>
    <row r="2">
      <c r="A2" s="12" t="inlineStr">
        <is>
          <t>CeO2</t>
        </is>
      </c>
      <c r="B2" s="24" t="inlineStr">
        <is>
          <t>1306-38-3</t>
        </is>
      </c>
      <c r="C2" s="40" t="n">
        <v>0.9</v>
      </c>
      <c r="D2" s="26" t="n">
        <v>0.006</v>
      </c>
      <c r="E2" s="24" t="inlineStr">
        <is>
          <t>211575</t>
        </is>
      </c>
      <c r="F2" s="41" t="inlineStr">
        <is>
          <t>https://www.sigmaaldrich.com/US/en/product/aldrich/211575</t>
        </is>
      </c>
      <c r="G2" s="24" t="inlineStr">
        <is>
          <t>Low</t>
        </is>
      </c>
    </row>
    <row r="3">
      <c r="A3" s="16" t="inlineStr">
        <is>
          <t>CaO</t>
        </is>
      </c>
      <c r="B3" s="28" t="inlineStr">
        <is>
          <t>1305-78-8</t>
        </is>
      </c>
      <c r="C3" s="42" t="n">
        <v>0.16</v>
      </c>
      <c r="D3" s="30" t="n">
        <v>0.0002</v>
      </c>
      <c r="E3" s="28" t="inlineStr">
        <is>
          <t>248568</t>
        </is>
      </c>
      <c r="F3" s="43" t="inlineStr">
        <is>
          <t>https://www.sigmaaldrich.com/US/en/product/aldrich/248568</t>
        </is>
      </c>
      <c r="G3" s="28" t="inlineStr">
        <is>
          <t>Low</t>
        </is>
      </c>
    </row>
    <row r="4">
      <c r="A4" s="12" t="inlineStr">
        <is>
          <t>La2O3</t>
        </is>
      </c>
      <c r="B4" s="24" t="inlineStr">
        <is>
          <t>1312-81-8</t>
        </is>
      </c>
      <c r="C4" s="40" t="n">
        <v>1.25</v>
      </c>
      <c r="D4" s="26" t="n">
        <v>0.01</v>
      </c>
      <c r="E4" s="24" t="inlineStr">
        <is>
          <t>L4000</t>
        </is>
      </c>
      <c r="F4" s="41" t="inlineStr">
        <is>
          <t>https://www.sigmaaldrich.com/US/en/product/aldrich/L4000</t>
        </is>
      </c>
      <c r="G4" s="24" t="inlineStr">
        <is>
          <t>Low-Moderate</t>
        </is>
      </c>
    </row>
    <row r="5">
      <c r="A5" s="16" t="inlineStr">
        <is>
          <t>MgO</t>
        </is>
      </c>
      <c r="B5" s="28" t="inlineStr">
        <is>
          <t>1309-48-4</t>
        </is>
      </c>
      <c r="C5" s="42" t="n">
        <v>0.13</v>
      </c>
      <c r="D5" s="30" t="n">
        <v>0.0003</v>
      </c>
      <c r="E5" s="28" t="inlineStr">
        <is>
          <t>529699</t>
        </is>
      </c>
      <c r="F5" s="43" t="inlineStr">
        <is>
          <t>https://www.sigmaaldrich.com/US/en/product/aldrich/529699</t>
        </is>
      </c>
      <c r="G5" s="28" t="inlineStr">
        <is>
          <t>Low</t>
        </is>
      </c>
    </row>
    <row r="6">
      <c r="A6" s="12" t="inlineStr">
        <is>
          <t>ZrO2</t>
        </is>
      </c>
      <c r="B6" s="24" t="inlineStr">
        <is>
          <t>1314-23-4</t>
        </is>
      </c>
      <c r="C6" s="40" t="n">
        <v>0.67</v>
      </c>
      <c r="D6" s="26" t="n">
        <v>0.035</v>
      </c>
      <c r="E6" s="24" t="inlineStr">
        <is>
          <t>230693</t>
        </is>
      </c>
      <c r="F6" s="41" t="inlineStr">
        <is>
          <t>https://www.sigmaaldrich.com/US/en/product/aldrich/230693</t>
        </is>
      </c>
      <c r="G6" s="24" t="inlineStr">
        <is>
          <t>Low</t>
        </is>
      </c>
    </row>
    <row r="7">
      <c r="A7" s="16" t="inlineStr">
        <is>
          <t>Al2O3</t>
        </is>
      </c>
      <c r="B7" s="28" t="inlineStr">
        <is>
          <t>1344-28-1</t>
        </is>
      </c>
      <c r="C7" s="42" t="n">
        <v>0.09</v>
      </c>
      <c r="D7" s="30" t="n">
        <v>0.0005</v>
      </c>
      <c r="E7" s="28" t="inlineStr">
        <is>
          <t>11028</t>
        </is>
      </c>
      <c r="F7" s="43" t="inlineStr">
        <is>
          <t>https://www.sigmaaldrich.com/US/en/product/aldrich/11028</t>
        </is>
      </c>
      <c r="G7" s="28" t="inlineStr">
        <is>
          <t>Low</t>
        </is>
      </c>
    </row>
    <row r="8">
      <c r="A8" s="12" t="inlineStr">
        <is>
          <t>TiO2</t>
        </is>
      </c>
      <c r="B8" s="24" t="inlineStr">
        <is>
          <t>13463-67-7</t>
        </is>
      </c>
      <c r="C8" s="40" t="n">
        <v>0.29</v>
      </c>
      <c r="D8" s="26" t="n">
        <v>0.003</v>
      </c>
      <c r="E8" s="24" t="inlineStr">
        <is>
          <t>14021</t>
        </is>
      </c>
      <c r="F8" s="41" t="inlineStr">
        <is>
          <t>https://www.sigmaaldrich.com/US/en/product/aldrich/14021</t>
        </is>
      </c>
      <c r="G8" s="24" t="inlineStr">
        <is>
          <t>Low</t>
        </is>
      </c>
    </row>
    <row r="9">
      <c r="A9" s="16" t="inlineStr">
        <is>
          <t>SiO2</t>
        </is>
      </c>
      <c r="B9" s="28" t="inlineStr">
        <is>
          <t>7631-86-9</t>
        </is>
      </c>
      <c r="C9" s="42" t="n">
        <v>0.1</v>
      </c>
      <c r="D9" s="30" t="n">
        <v>5e-05</v>
      </c>
      <c r="E9" s="28" t="inlineStr">
        <is>
          <t>637238</t>
        </is>
      </c>
      <c r="F9" s="43" t="inlineStr">
        <is>
          <t>https://www.sigmaaldrich.com/US/en/product/aldrich/637238</t>
        </is>
      </c>
      <c r="G9" s="28" t="inlineStr">
        <is>
          <t>Low (silicosis)</t>
        </is>
      </c>
    </row>
    <row r="10">
      <c r="A10" s="12" t="inlineStr">
        <is>
          <t>MnO</t>
        </is>
      </c>
      <c r="B10" s="24" t="inlineStr">
        <is>
          <t>1344-43-0</t>
        </is>
      </c>
      <c r="C10" s="40" t="n">
        <v>0.55</v>
      </c>
      <c r="D10" s="26" t="n">
        <v>0.005</v>
      </c>
      <c r="E10" s="24" t="inlineStr">
        <is>
          <t>377201</t>
        </is>
      </c>
      <c r="F10" s="41" t="inlineStr">
        <is>
          <t>https://www.sigmaaldrich.com/US/en/product/aldrich/377201</t>
        </is>
      </c>
      <c r="G10" s="24" t="inlineStr">
        <is>
          <t>Low</t>
        </is>
      </c>
    </row>
    <row r="11">
      <c r="A11" s="16" t="inlineStr">
        <is>
          <t>Cr2O3</t>
        </is>
      </c>
      <c r="B11" s="28" t="inlineStr">
        <is>
          <t>1308-38-9</t>
        </is>
      </c>
      <c r="C11" s="42" t="n">
        <v>2.38</v>
      </c>
      <c r="D11" s="30" t="n">
        <v>0.005</v>
      </c>
      <c r="E11" s="28" t="inlineStr">
        <is>
          <t>393703</t>
        </is>
      </c>
      <c r="F11" s="43" t="inlineStr">
        <is>
          <t>https://www.sigmaaldrich.com/US/en/product/aldrich/393703</t>
        </is>
      </c>
      <c r="G11" s="28" t="inlineStr">
        <is>
          <t>Moderate (Cr VI)</t>
        </is>
      </c>
    </row>
    <row r="12">
      <c r="A12" s="32" t="inlineStr">
        <is>
          <t>V2O5</t>
        </is>
      </c>
      <c r="B12" s="33" t="inlineStr">
        <is>
          <t>1314-62-1</t>
        </is>
      </c>
      <c r="C12" s="44" t="n">
        <v>1</v>
      </c>
      <c r="D12" s="35" t="n">
        <v>0.011</v>
      </c>
      <c r="E12" s="33" t="inlineStr">
        <is>
          <t>221899</t>
        </is>
      </c>
      <c r="F12" s="45" t="inlineStr">
        <is>
          <t>https://www.sigmaaldrich.com/US/en/product/aldrich/221899</t>
        </is>
      </c>
      <c r="G12" s="46" t="inlineStr">
        <is>
          <t>HIGH - Carc. 1B</t>
        </is>
      </c>
    </row>
    <row r="13">
      <c r="A13" s="16" t="inlineStr">
        <is>
          <t>FeO</t>
        </is>
      </c>
      <c r="B13" s="28" t="inlineStr">
        <is>
          <t>1345-25-1</t>
        </is>
      </c>
      <c r="C13" s="42" t="n">
        <v>0.75</v>
      </c>
      <c r="D13" s="30" t="n">
        <v>0.0009</v>
      </c>
      <c r="E13" s="28" t="inlineStr">
        <is>
          <t>400866</t>
        </is>
      </c>
      <c r="F13" s="43" t="inlineStr">
        <is>
          <t>https://www.sigmaaldrich.com/US/en/product/aldrich/400866</t>
        </is>
      </c>
      <c r="G13" s="28" t="inlineStr">
        <is>
          <t>Low</t>
        </is>
      </c>
    </row>
    <row r="14">
      <c r="A14" s="32" t="inlineStr">
        <is>
          <t>CoO</t>
        </is>
      </c>
      <c r="B14" s="33" t="inlineStr">
        <is>
          <t>1307-96-6</t>
        </is>
      </c>
      <c r="C14" s="44" t="n">
        <v>1</v>
      </c>
      <c r="D14" s="35" t="n">
        <v>0.018</v>
      </c>
      <c r="E14" s="33" t="inlineStr">
        <is>
          <t>529443</t>
        </is>
      </c>
      <c r="F14" s="45" t="inlineStr">
        <is>
          <t>https://www.sigmaaldrich.com/US/en/product/aldrich/529443</t>
        </is>
      </c>
      <c r="G14" s="46" t="inlineStr">
        <is>
          <t>HIGH - Carc. 1B</t>
        </is>
      </c>
    </row>
    <row r="15">
      <c r="A15" s="32" t="inlineStr">
        <is>
          <t>NiO</t>
        </is>
      </c>
      <c r="B15" s="33" t="inlineStr">
        <is>
          <t>1313-99-1</t>
        </is>
      </c>
      <c r="C15" s="44" t="n">
        <v>0.7</v>
      </c>
      <c r="D15" s="35" t="n">
        <v>0.016</v>
      </c>
      <c r="E15" s="33" t="inlineStr">
        <is>
          <t>203882</t>
        </is>
      </c>
      <c r="F15" s="45" t="inlineStr">
        <is>
          <t>https://www.sigmaaldrich.com/US/en/product/aldrich/203882</t>
        </is>
      </c>
      <c r="G15" s="46" t="inlineStr">
        <is>
          <t>HIGH - IARC Grp 1</t>
        </is>
      </c>
    </row>
    <row r="16">
      <c r="A16" s="32" t="inlineStr">
        <is>
          <t>PbO</t>
        </is>
      </c>
      <c r="B16" s="33" t="inlineStr">
        <is>
          <t>1317-36-8</t>
        </is>
      </c>
      <c r="C16" s="44" t="n">
        <v>0.26</v>
      </c>
      <c r="D16" s="35" t="n">
        <v>0.004</v>
      </c>
      <c r="E16" s="33" t="inlineStr">
        <is>
          <t>211907</t>
        </is>
      </c>
      <c r="F16" s="45" t="inlineStr">
        <is>
          <t>https://www.sigmaaldrich.com/US/en/product/aldrich/211907</t>
        </is>
      </c>
      <c r="G16" s="46" t="inlineStr">
        <is>
          <t>HIGH - neurotoxin</t>
        </is>
      </c>
    </row>
    <row r="17">
      <c r="A17" s="16" t="inlineStr">
        <is>
          <t>Cu2O</t>
        </is>
      </c>
      <c r="B17" s="28" t="inlineStr">
        <is>
          <t>1317-39-1</t>
        </is>
      </c>
      <c r="C17" s="42" t="n">
        <v>0.34</v>
      </c>
      <c r="D17" s="30" t="n">
        <v>0.008</v>
      </c>
      <c r="E17" s="28" t="inlineStr">
        <is>
          <t>208825</t>
        </is>
      </c>
      <c r="F17" s="43" t="inlineStr">
        <is>
          <t>https://www.sigmaaldrich.com/US/en/product/aldrich/208825</t>
        </is>
      </c>
      <c r="G17" s="28" t="inlineStr">
        <is>
          <t>Reference</t>
        </is>
      </c>
    </row>
    <row r="18">
      <c r="A18" s="12" t="inlineStr">
        <is>
          <t>CuO</t>
        </is>
      </c>
      <c r="B18" s="24" t="inlineStr">
        <is>
          <t>1317-38-0</t>
        </is>
      </c>
      <c r="C18" s="40" t="n">
        <v>0.38</v>
      </c>
      <c r="D18" s="26" t="n">
        <v>0.008</v>
      </c>
      <c r="E18" s="24" t="inlineStr">
        <is>
          <t>208841</t>
        </is>
      </c>
      <c r="F18" s="41" t="inlineStr">
        <is>
          <t>https://www.sigmaaldrich.com/US/en/product/aldrich/208841</t>
        </is>
      </c>
      <c r="G18" s="24" t="inlineStr">
        <is>
          <t>Moderate - aquatic</t>
        </is>
      </c>
    </row>
    <row r="19">
      <c r="A19" s="16" t="inlineStr">
        <is>
          <t>B2O3</t>
        </is>
      </c>
      <c r="B19" s="28" t="inlineStr">
        <is>
          <t>1303-86-2</t>
        </is>
      </c>
      <c r="C19" s="42" t="n">
        <v>1.09</v>
      </c>
      <c r="D19" s="30" t="n">
        <v>0.003</v>
      </c>
      <c r="E19" s="28" t="inlineStr">
        <is>
          <t>339075</t>
        </is>
      </c>
      <c r="F19" s="43" t="inlineStr">
        <is>
          <t>https://www.sigmaaldrich.com/US/en/product/aldrich/339075</t>
        </is>
      </c>
      <c r="G19" s="28" t="inlineStr">
        <is>
          <t>Moderate - Repr.1B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4" customWidth="1" min="3" max="3"/>
    <col width="30" customWidth="1" min="4" max="4"/>
    <col width="45" customWidth="1" min="5" max="5"/>
    <col width="12" customWidth="1" min="6" max="6"/>
    <col width="12" customWidth="1" min="7" max="7"/>
  </cols>
  <sheetData>
    <row r="1">
      <c r="A1" s="1" t="inlineStr">
        <is>
          <t>Oxide</t>
        </is>
      </c>
      <c r="B1" s="1" t="inlineStr">
        <is>
          <t>Priority</t>
        </is>
      </c>
      <c r="C1" s="1" t="inlineStr">
        <is>
          <t>ΔG_rxn 1527°C</t>
        </is>
      </c>
      <c r="D1" s="1" t="inlineStr">
        <is>
          <t>Mechanism</t>
        </is>
      </c>
      <c r="E1" s="1" t="inlineStr">
        <is>
          <t>Evidence</t>
        </is>
      </c>
      <c r="F1" s="1" t="inlineStr">
        <is>
          <t>DB Source</t>
        </is>
      </c>
      <c r="G1" s="1" t="inlineStr">
        <is>
          <t>Status</t>
        </is>
      </c>
    </row>
    <row r="2">
      <c r="A2" s="12" t="inlineStr">
        <is>
          <t>V₂O₅</t>
        </is>
      </c>
      <c r="B2" s="47" t="inlineStr">
        <is>
          <t>HIGH</t>
        </is>
      </c>
      <c r="C2" s="24" t="inlineStr">
        <is>
          <t>+259.4 kJ</t>
        </is>
      </c>
      <c r="D2" s="24" t="inlineStr">
        <is>
          <t>Copper vanadate CuV₂O₆ formation</t>
        </is>
      </c>
      <c r="E2" s="24" t="inlineStr">
        <is>
          <t>Bureau of Mines: 40-60% Cu removal at 1200-1400°C</t>
        </is>
      </c>
      <c r="F2" s="24" t="inlineStr">
        <is>
          <t>TCOX14</t>
        </is>
      </c>
      <c r="G2" s="24" t="inlineStr">
        <is>
          <t>Complete</t>
        </is>
      </c>
    </row>
    <row r="3">
      <c r="A3" s="16" t="inlineStr">
        <is>
          <t>B₂O₃</t>
        </is>
      </c>
      <c r="B3" s="48" t="inlineStr">
        <is>
          <t>HIGH</t>
        </is>
      </c>
      <c r="C3" s="28" t="inlineStr">
        <is>
          <t>partial</t>
        </is>
      </c>
      <c r="D3" s="28" t="inlineStr">
        <is>
          <t>Cu₂O dissolves into borate slag</t>
        </is>
      </c>
      <c r="E3" s="28" t="inlineStr">
        <is>
          <t>Partition coefficient &gt;10 for Cu₂O in borate melts</t>
        </is>
      </c>
      <c r="F3" s="28" t="inlineStr">
        <is>
          <t>TCOX14 (7pts)</t>
        </is>
      </c>
      <c r="G3" s="28" t="inlineStr">
        <is>
          <t>Partial</t>
        </is>
      </c>
    </row>
    <row r="4">
      <c r="A4" s="12" t="inlineStr">
        <is>
          <t>CeO₂</t>
        </is>
      </c>
      <c r="B4" s="47" t="inlineStr">
        <is>
          <t>HIGH</t>
        </is>
      </c>
      <c r="C4" s="24" t="inlineStr">
        <is>
          <t>+1240.7 kJ</t>
        </is>
      </c>
      <c r="D4" s="24" t="inlineStr">
        <is>
          <t>Ce⁴⁺/Ce³⁺ redox shuttling</t>
        </is>
      </c>
      <c r="E4" s="24" t="inlineStr">
        <is>
          <t>Oxygen carrier in catalysis; low toxicity</t>
        </is>
      </c>
      <c r="F4" s="24" t="inlineStr">
        <is>
          <t>SSUB3</t>
        </is>
      </c>
      <c r="G4" s="24" t="inlineStr">
        <is>
          <t>Complete*</t>
        </is>
      </c>
    </row>
    <row r="5">
      <c r="A5" s="16" t="inlineStr">
        <is>
          <t>La₂O₃</t>
        </is>
      </c>
      <c r="B5" s="49" t="inlineStr">
        <is>
          <t>MEDIUM</t>
        </is>
      </c>
      <c r="C5" s="28" t="inlineStr">
        <is>
          <t>+766.3 kJ</t>
        </is>
      </c>
      <c r="D5" s="28" t="inlineStr">
        <is>
          <t>Cuprate La₂CuO₄ formation</t>
        </is>
      </c>
      <c r="E5" s="28" t="inlineStr">
        <is>
          <t>Superconductor lit. proves La₂O₃ + Cu → La₂CuO₄</t>
        </is>
      </c>
      <c r="F5" s="28" t="inlineStr">
        <is>
          <t>TCOX14</t>
        </is>
      </c>
      <c r="G5" s="28" t="inlineStr">
        <is>
          <t>Complete</t>
        </is>
      </c>
    </row>
    <row r="6">
      <c r="A6" s="12" t="inlineStr">
        <is>
          <t>NiO</t>
        </is>
      </c>
      <c r="B6" s="50" t="inlineStr">
        <is>
          <t>LOW</t>
        </is>
      </c>
      <c r="C6" s="24" t="inlineStr">
        <is>
          <t>+76.0 kJ</t>
        </is>
      </c>
      <c r="D6" s="24" t="inlineStr">
        <is>
          <t>Reference (co-tramp)</t>
        </is>
      </c>
      <c r="E6" s="24" t="inlineStr">
        <is>
          <t>Confirms position near Cu₂O on Ellingham</t>
        </is>
      </c>
      <c r="F6" s="24" t="inlineStr">
        <is>
          <t>TCOX14</t>
        </is>
      </c>
      <c r="G6" s="24" t="inlineStr">
        <is>
          <t>Complete</t>
        </is>
      </c>
    </row>
    <row r="7">
      <c r="A7" s="16" t="inlineStr">
        <is>
          <t>CoO</t>
        </is>
      </c>
      <c r="B7" s="51" t="inlineStr">
        <is>
          <t>LOW</t>
        </is>
      </c>
      <c r="C7" s="28" t="inlineStr">
        <is>
          <t>+126.6 kJ</t>
        </is>
      </c>
      <c r="D7" s="28" t="inlineStr">
        <is>
          <t>Reference (co-contaminant)</t>
        </is>
      </c>
      <c r="E7" s="28" t="inlineStr">
        <is>
          <t>Between FeO and NiO as expected</t>
        </is>
      </c>
      <c r="F7" s="28" t="inlineStr">
        <is>
          <t>TCOX14</t>
        </is>
      </c>
      <c r="G7" s="28" t="inlineStr">
        <is>
          <t>Complete</t>
        </is>
      </c>
    </row>
    <row r="8">
      <c r="A8" s="12" t="inlineStr">
        <is>
          <t>PbO</t>
        </is>
      </c>
      <c r="B8" s="50" t="inlineStr">
        <is>
          <t>LOW</t>
        </is>
      </c>
      <c r="C8" s="24" t="inlineStr">
        <is>
          <t>+136.2 kJ</t>
        </is>
      </c>
      <c r="D8" s="24" t="inlineStr">
        <is>
          <t>Reference (co-tramp)</t>
        </is>
      </c>
      <c r="E8" s="24" t="inlineStr">
        <is>
          <t>Cu CAN reduce PbO at &lt;727°C; not at steelmaking temps</t>
        </is>
      </c>
      <c r="F8" s="24" t="inlineStr">
        <is>
          <t>SSUB3</t>
        </is>
      </c>
      <c r="G8" s="24" t="inlineStr">
        <is>
          <t>Complete*</t>
        </is>
      </c>
    </row>
    <row r="10">
      <c r="A10" s="52" t="inlineStr">
        <is>
          <t>* SSUB3 values flagged: PbO 35% off literature, CeO₂ 19% off. Use with caution.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2026-03-12T23:52:46Z</dcterms:created>
  <dcterms:modified xmlns:dcterms="http://purl.org/dc/terms/" xmlns:xsi="http://www.w3.org/2001/XMLSchema-instance" xsi:type="dcterms:W3CDTF">2026-03-12T23:52:46Z</dcterms:modified>
</cp:coreProperties>
</file>