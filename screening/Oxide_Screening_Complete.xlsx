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ion Energies" sheetId="1" state="visible" r:id="rId1"/>
    <sheet xmlns:r="http://schemas.openxmlformats.org/officeDocument/2006/relationships" name="Pricing &amp; SDS" sheetId="2" state="visible" r:id="rId2"/>
    <sheet xmlns:r="http://schemas.openxmlformats.org/officeDocument/2006/relationships" name="Reaction ΔG (Arithmetic)" sheetId="3" state="visible" r:id="rId3"/>
    <sheet xmlns:r="http://schemas.openxmlformats.org/officeDocument/2006/relationships" name="Normalization Explained" sheetId="4" state="visible" r:id="rId4"/>
    <sheet xmlns:r="http://schemas.openxmlformats.org/officeDocument/2006/relationships" name="Complete Screening Table" sheetId="5" state="visible" r:id="rId5"/>
    <sheet xmlns:r="http://schemas.openxmlformats.org/officeDocument/2006/relationships" name="Moonshot Candida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$#,##0.00"/>
    <numFmt numFmtId="166" formatCode="$#,##0.000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i val="1"/>
      <sz val="11"/>
    </font>
    <font>
      <b val="1"/>
      <color rgb="00FFFFFF"/>
      <sz val="11"/>
    </font>
    <font>
      <sz val="11"/>
    </font>
    <font>
      <b val="1"/>
      <sz val="11"/>
    </font>
    <font>
      <b val="1"/>
      <sz val="13"/>
    </font>
    <font>
      <b val="1"/>
      <color rgb="00FFFFFF"/>
      <sz val="13"/>
    </font>
    <font>
      <b val="1"/>
      <color rgb="00006100"/>
      <sz val="11"/>
    </font>
    <font>
      <b val="1"/>
      <color rgb="009C0006"/>
      <sz val="11"/>
    </font>
    <font>
      <b val="1"/>
      <sz val="12"/>
    </font>
    <font>
      <b val="1"/>
      <color rgb="00FFFFFF"/>
      <sz val="12"/>
    </font>
    <font>
      <i val="1"/>
      <color rgb="009C0006"/>
      <sz val="11"/>
    </font>
    <font>
      <i val="1"/>
      <color rgb="00808080"/>
      <sz val="10"/>
    </font>
    <font>
      <b val="1"/>
      <color rgb="00BF8F00"/>
      <sz val="11"/>
    </font>
    <font>
      <i val="1"/>
      <color rgb="00808080"/>
      <sz val="11"/>
    </font>
    <font>
      <b val="1"/>
      <color rgb="00FFFFFF"/>
      <sz val="10"/>
    </font>
    <font>
      <b val="1"/>
      <color rgb="00595959"/>
      <sz val="11"/>
    </font>
    <font>
      <b val="1"/>
      <sz val="10"/>
    </font>
    <font>
      <sz val="10"/>
    </font>
    <font>
      <color rgb="000563C1"/>
      <sz val="10"/>
      <u val="single"/>
    </font>
    <font>
      <b val="1"/>
      <color rgb="00CC0000"/>
      <sz val="10"/>
    </font>
  </fonts>
  <fills count="12">
    <fill>
      <patternFill/>
    </fill>
    <fill>
      <patternFill patternType="gray125"/>
    </fill>
    <fill>
      <patternFill patternType="solid">
        <fgColor rgb="00595959"/>
        <bgColor rgb="00595959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D6E4F0"/>
        <bgColor rgb="00D6E4F0"/>
      </patternFill>
    </fill>
    <fill>
      <patternFill patternType="solid">
        <fgColor rgb="00E0E0E0"/>
        <bgColor rgb="00E0E0E0"/>
      </patternFill>
    </fill>
    <fill>
      <patternFill patternType="solid">
        <fgColor rgb="00595959"/>
      </patternFill>
    </fill>
    <fill>
      <patternFill patternType="solid">
        <fgColor rgb="00D9D9D9"/>
      </patternFill>
    </fill>
    <fill>
      <patternFill patternType="solid">
        <fgColor rgb="00FFFFFF"/>
      </patternFill>
    </fill>
    <fill>
      <patternFill patternType="solid">
        <fgColor rgb="00E0E0E0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medium"/>
      <right style="thin"/>
      <top style="medium"/>
      <bottom style="medium"/>
    </border>
    <border>
      <left style="thin"/>
      <right style="thin"/>
      <top style="medium"/>
      <bottom style="medium"/>
    </border>
    <border>
      <left style="thin"/>
      <right style="medium"/>
      <top style="medium"/>
      <bottom style="medium"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/>
    </xf>
    <xf numFmtId="164" fontId="4" fillId="4" borderId="5" applyAlignment="1" pivotButton="0" quotePrefix="0" xfId="0">
      <alignment horizontal="center" vertical="center"/>
    </xf>
    <xf numFmtId="164" fontId="4" fillId="5" borderId="5" applyAlignment="1" pivotButton="0" quotePrefix="0" xfId="0">
      <alignment horizontal="center" vertical="center"/>
    </xf>
    <xf numFmtId="164" fontId="4" fillId="4" borderId="6" applyAlignment="1" pivotButton="0" quotePrefix="0" xfId="0">
      <alignment horizontal="center" vertical="center"/>
    </xf>
    <xf numFmtId="0" fontId="4" fillId="6" borderId="7" applyAlignment="1" pivotButton="0" quotePrefix="0" xfId="0">
      <alignment horizontal="center" vertical="center"/>
    </xf>
    <xf numFmtId="0" fontId="4" fillId="6" borderId="8" applyAlignment="1" pivotButton="0" quotePrefix="0" xfId="0">
      <alignment horizontal="center" vertical="center"/>
    </xf>
    <xf numFmtId="0" fontId="0" fillId="6" borderId="8" applyAlignment="1" pivotButton="0" quotePrefix="0" xfId="0">
      <alignment horizontal="center" vertical="center"/>
    </xf>
    <xf numFmtId="164" fontId="4" fillId="6" borderId="8" applyAlignment="1" pivotButton="0" quotePrefix="0" xfId="0">
      <alignment horizontal="center" vertical="center"/>
    </xf>
    <xf numFmtId="164" fontId="4" fillId="5" borderId="8" applyAlignment="1" pivotButton="0" quotePrefix="0" xfId="0">
      <alignment horizontal="center" vertical="center"/>
    </xf>
    <xf numFmtId="164" fontId="4" fillId="6" borderId="9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0" fillId="4" borderId="8" applyAlignment="1" pivotButton="0" quotePrefix="0" xfId="0">
      <alignment horizontal="center" vertical="center"/>
    </xf>
    <xf numFmtId="164" fontId="5" fillId="4" borderId="8" applyAlignment="1" pivotButton="0" quotePrefix="0" xfId="0">
      <alignment horizontal="center" vertical="center"/>
    </xf>
    <xf numFmtId="164" fontId="5" fillId="5" borderId="8" applyAlignment="1" pivotButton="0" quotePrefix="0" xfId="0">
      <alignment horizontal="center" vertical="center"/>
    </xf>
    <xf numFmtId="164" fontId="5" fillId="4" borderId="9" applyAlignment="1" pivotButton="0" quotePrefix="0" xfId="0">
      <alignment horizontal="center" vertical="center"/>
    </xf>
    <xf numFmtId="0" fontId="4" fillId="6" borderId="10" applyAlignment="1" pivotButton="0" quotePrefix="0" xfId="0">
      <alignment horizontal="center" vertical="center"/>
    </xf>
    <xf numFmtId="0" fontId="4" fillId="6" borderId="11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164" fontId="4" fillId="6" borderId="11" applyAlignment="1" pivotButton="0" quotePrefix="0" xfId="0">
      <alignment horizontal="center" vertical="center"/>
    </xf>
    <xf numFmtId="164" fontId="4" fillId="5" borderId="11" applyAlignment="1" pivotButton="0" quotePrefix="0" xfId="0">
      <alignment horizontal="center" vertical="center"/>
    </xf>
    <xf numFmtId="164" fontId="4" fillId="6" borderId="12" applyAlignment="1" pivotButton="0" quotePrefix="0" xfId="0">
      <alignment horizontal="center" vertical="center"/>
    </xf>
    <xf numFmtId="0" fontId="7" fillId="3" borderId="0" pivotButton="0" quotePrefix="0" xfId="0"/>
    <xf numFmtId="0" fontId="5" fillId="0" borderId="0" pivotButton="0" quotePrefix="0" xfId="0"/>
    <xf numFmtId="164" fontId="5" fillId="5" borderId="0" pivotButton="0" quotePrefix="0" xfId="0"/>
    <xf numFmtId="0" fontId="4" fillId="0" borderId="0" pivotButton="0" quotePrefix="0" xfId="0"/>
    <xf numFmtId="0" fontId="5" fillId="4" borderId="4" applyAlignment="1" pivotButton="0" quotePrefix="0" xfId="0">
      <alignment horizontal="left" vertical="center"/>
    </xf>
    <xf numFmtId="0" fontId="1" fillId="4" borderId="5" applyAlignment="1" pivotButton="0" quotePrefix="0" xfId="0">
      <alignment horizontal="center" vertical="center"/>
    </xf>
    <xf numFmtId="164" fontId="8" fillId="4" borderId="5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/>
    </xf>
    <xf numFmtId="0" fontId="5" fillId="6" borderId="7" applyAlignment="1" pivotButton="0" quotePrefix="0" xfId="0">
      <alignment horizontal="left" vertical="center"/>
    </xf>
    <xf numFmtId="0" fontId="1" fillId="6" borderId="8" applyAlignment="1" pivotButton="0" quotePrefix="0" xfId="0">
      <alignment horizontal="center" vertical="center"/>
    </xf>
    <xf numFmtId="164" fontId="8" fillId="6" borderId="8" applyAlignment="1" pivotButton="0" quotePrefix="0" xfId="0">
      <alignment horizontal="center" vertical="center"/>
    </xf>
    <xf numFmtId="0" fontId="8" fillId="6" borderId="9" applyAlignment="1" pivotButton="0" quotePrefix="0" xfId="0">
      <alignment horizontal="center" vertical="center"/>
    </xf>
    <xf numFmtId="0" fontId="5" fillId="4" borderId="7" applyAlignment="1" pivotButton="0" quotePrefix="0" xfId="0">
      <alignment horizontal="left" vertical="center"/>
    </xf>
    <xf numFmtId="164" fontId="4" fillId="4" borderId="8" applyAlignment="1" pivotButton="0" quotePrefix="0" xfId="0">
      <alignment horizontal="center" vertical="center"/>
    </xf>
    <xf numFmtId="0" fontId="1" fillId="4" borderId="8" applyAlignment="1" pivotButton="0" quotePrefix="0" xfId="0">
      <alignment horizontal="center" vertical="center"/>
    </xf>
    <xf numFmtId="164" fontId="8" fillId="4" borderId="8" applyAlignment="1" pivotButton="0" quotePrefix="0" xfId="0">
      <alignment horizontal="center" vertical="center"/>
    </xf>
    <xf numFmtId="0" fontId="8" fillId="4" borderId="9" applyAlignment="1" pivotButton="0" quotePrefix="0" xfId="0">
      <alignment horizontal="center" vertical="center"/>
    </xf>
    <xf numFmtId="0" fontId="5" fillId="6" borderId="10" applyAlignment="1" pivotButton="0" quotePrefix="0" xfId="0">
      <alignment horizontal="left" vertical="center"/>
    </xf>
    <xf numFmtId="0" fontId="1" fillId="6" borderId="11" applyAlignment="1" pivotButton="0" quotePrefix="0" xfId="0">
      <alignment horizontal="center" vertical="center"/>
    </xf>
    <xf numFmtId="164" fontId="9" fillId="6" borderId="11" applyAlignment="1" pivotButton="0" quotePrefix="0" xfId="0">
      <alignment horizontal="center" vertical="center"/>
    </xf>
    <xf numFmtId="0" fontId="9" fillId="6" borderId="12" applyAlignment="1" pivotButton="0" quotePrefix="0" xfId="0">
      <alignment horizontal="center" vertical="center"/>
    </xf>
    <xf numFmtId="0" fontId="11" fillId="2" borderId="0" pivotButton="0" quotePrefix="0" xfId="0"/>
    <xf numFmtId="0" fontId="5" fillId="0" borderId="0" applyAlignment="1" pivotButton="0" quotePrefix="0" xfId="0">
      <alignment horizontal="right"/>
    </xf>
    <xf numFmtId="0" fontId="1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left" vertical="center"/>
    </xf>
    <xf numFmtId="0" fontId="5" fillId="6" borderId="7" applyAlignment="1" pivotButton="0" quotePrefix="0" xfId="0">
      <alignment horizontal="center" vertical="center"/>
    </xf>
    <xf numFmtId="0" fontId="4" fillId="6" borderId="9" applyAlignment="1" pivotButton="0" quotePrefix="0" xfId="0">
      <alignment horizontal="left" vertical="center"/>
    </xf>
    <xf numFmtId="0" fontId="4" fillId="4" borderId="9" applyAlignment="1" pivotButton="0" quotePrefix="0" xfId="0">
      <alignment horizontal="left" vertical="center"/>
    </xf>
    <xf numFmtId="0" fontId="5" fillId="4" borderId="10" applyAlignment="1" pivotButton="0" quotePrefix="0" xfId="0">
      <alignment horizontal="center" vertical="center"/>
    </xf>
    <xf numFmtId="0" fontId="0" fillId="4" borderId="11" applyAlignment="1" pivotButton="0" quotePrefix="0" xfId="0">
      <alignment horizontal="center" vertical="center"/>
    </xf>
    <xf numFmtId="0" fontId="4" fillId="4" borderId="12" applyAlignment="1" pivotButton="0" quotePrefix="0" xfId="0">
      <alignment horizontal="left" vertical="center"/>
    </xf>
    <xf numFmtId="0" fontId="5" fillId="4" borderId="4" pivotButton="0" quotePrefix="0" xfId="0"/>
    <xf numFmtId="2" fontId="0" fillId="4" borderId="5" applyAlignment="1" pivotButton="0" quotePrefix="0" xfId="0">
      <alignment horizontal="center" vertical="center"/>
    </xf>
    <xf numFmtId="164" fontId="0" fillId="4" borderId="5" applyAlignment="1" pivotButton="0" quotePrefix="0" xfId="0">
      <alignment horizontal="center" vertical="center"/>
    </xf>
    <xf numFmtId="0" fontId="8" fillId="4" borderId="5" applyAlignment="1" pivotButton="0" quotePrefix="0" xfId="0">
      <alignment horizontal="center" vertical="center"/>
    </xf>
    <xf numFmtId="0" fontId="0" fillId="4" borderId="5" applyAlignment="1" pivotButton="0" quotePrefix="0" xfId="0">
      <alignment horizontal="left" vertical="center"/>
    </xf>
    <xf numFmtId="0" fontId="0" fillId="4" borderId="6" applyAlignment="1" pivotButton="0" quotePrefix="0" xfId="0">
      <alignment vertical="center" wrapText="1"/>
    </xf>
    <xf numFmtId="0" fontId="5" fillId="6" borderId="7" pivotButton="0" quotePrefix="0" xfId="0"/>
    <xf numFmtId="2" fontId="0" fillId="6" borderId="8" applyAlignment="1" pivotButton="0" quotePrefix="0" xfId="0">
      <alignment horizontal="center" vertical="center"/>
    </xf>
    <xf numFmtId="164" fontId="0" fillId="6" borderId="8" applyAlignment="1" pivotButton="0" quotePrefix="0" xfId="0">
      <alignment horizontal="center" vertical="center"/>
    </xf>
    <xf numFmtId="0" fontId="8" fillId="6" borderId="8" applyAlignment="1" pivotButton="0" quotePrefix="0" xfId="0">
      <alignment horizontal="center" vertical="center"/>
    </xf>
    <xf numFmtId="0" fontId="0" fillId="6" borderId="8" applyAlignment="1" pivotButton="0" quotePrefix="0" xfId="0">
      <alignment horizontal="left" vertical="center"/>
    </xf>
    <xf numFmtId="0" fontId="0" fillId="6" borderId="9" applyAlignment="1" pivotButton="0" quotePrefix="0" xfId="0">
      <alignment vertical="center" wrapText="1"/>
    </xf>
    <xf numFmtId="0" fontId="5" fillId="4" borderId="7" pivotButton="0" quotePrefix="0" xfId="0"/>
    <xf numFmtId="2" fontId="0" fillId="4" borderId="8" applyAlignment="1" pivotButton="0" quotePrefix="0" xfId="0">
      <alignment horizontal="center" vertical="center"/>
    </xf>
    <xf numFmtId="164" fontId="0" fillId="4" borderId="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0" fillId="4" borderId="8" applyAlignment="1" pivotButton="0" quotePrefix="0" xfId="0">
      <alignment horizontal="left" vertical="center"/>
    </xf>
    <xf numFmtId="0" fontId="0" fillId="4" borderId="9" applyAlignment="1" pivotButton="0" quotePrefix="0" xfId="0">
      <alignment vertical="center" wrapText="1"/>
    </xf>
    <xf numFmtId="0" fontId="9" fillId="4" borderId="8" applyAlignment="1" pivotButton="0" quotePrefix="0" xfId="0">
      <alignment horizontal="center" vertical="center"/>
    </xf>
    <xf numFmtId="0" fontId="9" fillId="6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center" vertical="center"/>
    </xf>
    <xf numFmtId="0" fontId="3" fillId="3" borderId="7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3" fillId="4" borderId="8" applyAlignment="1" pivotButton="0" quotePrefix="0" xfId="0">
      <alignment horizontal="center" vertical="center"/>
    </xf>
    <xf numFmtId="0" fontId="13" fillId="6" borderId="8" applyAlignment="1" pivotButton="0" quotePrefix="0" xfId="0">
      <alignment horizontal="center" vertical="center"/>
    </xf>
    <xf numFmtId="0" fontId="5" fillId="4" borderId="10" pivotButton="0" quotePrefix="0" xfId="0"/>
    <xf numFmtId="2" fontId="0" fillId="4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0" fillId="4" borderId="11" applyAlignment="1" pivotButton="0" quotePrefix="0" xfId="0">
      <alignment horizontal="left" vertical="center"/>
    </xf>
    <xf numFmtId="0" fontId="0" fillId="4" borderId="12" applyAlignment="1" pivotButton="0" quotePrefix="0" xfId="0">
      <alignment vertical="center" wrapText="1"/>
    </xf>
    <xf numFmtId="0" fontId="0" fillId="4" borderId="5" applyAlignment="1" pivotButton="0" quotePrefix="0" xfId="0">
      <alignment vertical="center" wrapText="1"/>
    </xf>
    <xf numFmtId="0" fontId="0" fillId="6" borderId="8" applyAlignment="1" pivotButton="0" quotePrefix="0" xfId="0">
      <alignment vertical="center" wrapText="1"/>
    </xf>
    <xf numFmtId="0" fontId="0" fillId="4" borderId="8" applyAlignment="1" pivotButton="0" quotePrefix="0" xfId="0">
      <alignment vertical="center" wrapText="1"/>
    </xf>
    <xf numFmtId="0" fontId="14" fillId="6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5" fillId="6" borderId="9" applyAlignment="1" pivotButton="0" quotePrefix="0" xfId="0">
      <alignment horizontal="center" vertical="center"/>
    </xf>
    <xf numFmtId="0" fontId="0" fillId="4" borderId="11" applyAlignment="1" pivotButton="0" quotePrefix="0" xfId="0">
      <alignment vertical="center" wrapText="1"/>
    </xf>
    <xf numFmtId="0" fontId="15" fillId="4" borderId="12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18" fillId="9" borderId="0" applyAlignment="1" pivotButton="0" quotePrefix="0" xfId="0">
      <alignment vertical="center" wrapText="1"/>
    </xf>
    <xf numFmtId="0" fontId="19" fillId="9" borderId="0" applyAlignment="1" pivotButton="0" quotePrefix="0" xfId="0">
      <alignment vertical="center" wrapText="1"/>
    </xf>
    <xf numFmtId="165" fontId="19" fillId="9" borderId="0" applyAlignment="1" pivotButton="0" quotePrefix="0" xfId="0">
      <alignment vertical="center" wrapText="1"/>
    </xf>
    <xf numFmtId="166" fontId="19" fillId="9" borderId="0" applyAlignment="1" pivotButton="0" quotePrefix="0" xfId="0">
      <alignment vertical="center" wrapText="1"/>
    </xf>
    <xf numFmtId="0" fontId="20" fillId="9" borderId="0" applyAlignment="1" pivotButton="0" quotePrefix="0" xfId="0">
      <alignment vertical="center" wrapText="1"/>
    </xf>
    <xf numFmtId="0" fontId="18" fillId="10" borderId="0" applyAlignment="1" pivotButton="0" quotePrefix="0" xfId="0">
      <alignment vertical="center" wrapText="1"/>
    </xf>
    <xf numFmtId="0" fontId="19" fillId="10" borderId="0" applyAlignment="1" pivotButton="0" quotePrefix="0" xfId="0">
      <alignment vertical="center" wrapText="1"/>
    </xf>
    <xf numFmtId="165" fontId="19" fillId="10" borderId="0" applyAlignment="1" pivotButton="0" quotePrefix="0" xfId="0">
      <alignment vertical="center" wrapText="1"/>
    </xf>
    <xf numFmtId="166" fontId="19" fillId="10" borderId="0" applyAlignment="1" pivotButton="0" quotePrefix="0" xfId="0">
      <alignment vertical="center" wrapText="1"/>
    </xf>
    <xf numFmtId="0" fontId="20" fillId="10" borderId="0" applyAlignment="1" pivotButton="0" quotePrefix="0" xfId="0">
      <alignment vertical="center" wrapText="1"/>
    </xf>
    <xf numFmtId="0" fontId="21" fillId="11" borderId="0" applyAlignment="1" pivotButton="0" quotePrefix="0" xfId="0">
      <alignment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igmaaldrich.com/US/en/product/sigald/208825" TargetMode="External" Id="rId1"/><Relationship Type="http://schemas.openxmlformats.org/officeDocument/2006/relationships/hyperlink" Target="https://www.sigmaaldrich.com/US/en/product/sigald/208841" TargetMode="External" Id="rId2"/><Relationship Type="http://schemas.openxmlformats.org/officeDocument/2006/relationships/hyperlink" Target="https://www.sigmaaldrich.com/US/en/product/sigald/11028" TargetMode="External" Id="rId3"/><Relationship Type="http://schemas.openxmlformats.org/officeDocument/2006/relationships/hyperlink" Target="https://www.sigmaaldrich.com/US/en/sds/aldrich/529699" TargetMode="External" Id="rId4"/><Relationship Type="http://schemas.openxmlformats.org/officeDocument/2006/relationships/hyperlink" Target="https://www.sigmaaldrich.com/US/en/sds/aldrich/637238" TargetMode="External" Id="rId5"/><Relationship Type="http://schemas.openxmlformats.org/officeDocument/2006/relationships/hyperlink" Target="https://www.sigmaaldrich.com/US/en/product/sigald/14021" TargetMode="External" Id="rId6"/><Relationship Type="http://schemas.openxmlformats.org/officeDocument/2006/relationships/hyperlink" Target="https://www.sigmaaldrich.com/US/en/sds/aldrich/400866" TargetMode="External" Id="rId7"/><Relationship Type="http://schemas.openxmlformats.org/officeDocument/2006/relationships/hyperlink" Target="https://www.sigmaaldrich.com/US/en/product/sigald/248568" TargetMode="External" Id="rId8"/><Relationship Type="http://schemas.openxmlformats.org/officeDocument/2006/relationships/hyperlink" Target="https://www.sigmaaldrich.com/US/en/product/aldrich/230693" TargetMode="External" Id="rId9"/><Relationship Type="http://schemas.openxmlformats.org/officeDocument/2006/relationships/hyperlink" Target="https://www.sigmaaldrich.com/US/en/product/sigald/393703" TargetMode="External" Id="rId10"/><Relationship Type="http://schemas.openxmlformats.org/officeDocument/2006/relationships/hyperlink" Target="https://www.sigmaaldrich.com/US/en/product/aldrich/377201" TargetMode="External" Id="rId11"/><Relationship Type="http://schemas.openxmlformats.org/officeDocument/2006/relationships/hyperlink" Target="https://www.sigmaaldrich.com/US/en/product/aldrich/203882" TargetMode="External" Id="rId12"/><Relationship Type="http://schemas.openxmlformats.org/officeDocument/2006/relationships/hyperlink" Target="https://www.sigmaaldrich.com/US/en/product/aldrich/529443" TargetMode="External" Id="rId13"/><Relationship Type="http://schemas.openxmlformats.org/officeDocument/2006/relationships/hyperlink" Target="https://www.sigmaaldrich.com/US/en/product/sigald/211907" TargetMode="External" Id="rId14"/><Relationship Type="http://schemas.openxmlformats.org/officeDocument/2006/relationships/hyperlink" Target="https://www.sigmaaldrich.com/US/en/product/sial/339075" TargetMode="External" Id="rId15"/><Relationship Type="http://schemas.openxmlformats.org/officeDocument/2006/relationships/hyperlink" Target="https://www.sigmaaldrich.com/US/en/product/aldrich/221899" TargetMode="External" Id="rId16"/><Relationship Type="http://schemas.openxmlformats.org/officeDocument/2006/relationships/hyperlink" Target="https://www.sigmaaldrich.com/US/en/product/aldrich/l4000" TargetMode="External" Id="rId17"/><Relationship Type="http://schemas.openxmlformats.org/officeDocument/2006/relationships/hyperlink" Target="https://www.sigmaaldrich.com/US/en/product/aldrich/211575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>
      <c r="A1" s="1" t="inlineStr">
        <is>
          <t>Gibbs Energy of Formation (ΔG_f) per mol O₂ — Thermo-Calc TCOX14</t>
        </is>
      </c>
    </row>
    <row r="2">
      <c r="A2" s="2" t="inlineStr">
        <is>
          <t>All values in kJ/mol O₂. Moonshot candidates (*) pending TC-Python extraction from additional databases.</t>
        </is>
      </c>
    </row>
    <row r="4">
      <c r="A4" s="3" t="inlineStr">
        <is>
          <t>T (K)</t>
        </is>
      </c>
      <c r="B4" s="4" t="inlineStr">
        <is>
          <t>T (°C)</t>
        </is>
      </c>
      <c r="C4" s="4" t="inlineStr">
        <is>
          <t>La₂O₃*</t>
        </is>
      </c>
      <c r="D4" s="4" t="inlineStr">
        <is>
          <t>CaO</t>
        </is>
      </c>
      <c r="E4" s="4" t="inlineStr">
        <is>
          <t>CeO₂*</t>
        </is>
      </c>
      <c r="F4" s="4" t="inlineStr">
        <is>
          <t>MgO</t>
        </is>
      </c>
      <c r="G4" s="4" t="inlineStr">
        <is>
          <t>ZrO₂</t>
        </is>
      </c>
      <c r="H4" s="4" t="inlineStr">
        <is>
          <t>Al₂O₃</t>
        </is>
      </c>
      <c r="I4" s="4" t="inlineStr">
        <is>
          <t>B₂O₃*</t>
        </is>
      </c>
      <c r="J4" s="4" t="inlineStr">
        <is>
          <t>TiO₂</t>
        </is>
      </c>
      <c r="K4" s="4" t="inlineStr">
        <is>
          <t>SiO₂</t>
        </is>
      </c>
      <c r="L4" s="4" t="inlineStr">
        <is>
          <t>MnO</t>
        </is>
      </c>
      <c r="M4" s="4" t="inlineStr">
        <is>
          <t>V₂O₅*</t>
        </is>
      </c>
      <c r="N4" s="4" t="inlineStr">
        <is>
          <t>Cr₂O₃</t>
        </is>
      </c>
      <c r="O4" s="4" t="inlineStr">
        <is>
          <t>CoO*</t>
        </is>
      </c>
      <c r="P4" s="4" t="inlineStr">
        <is>
          <t>FeO</t>
        </is>
      </c>
      <c r="Q4" s="4" t="inlineStr">
        <is>
          <t>NiO*</t>
        </is>
      </c>
      <c r="R4" s="4" t="inlineStr">
        <is>
          <t>PbO*</t>
        </is>
      </c>
      <c r="S4" s="5" t="inlineStr">
        <is>
          <t>Cu₂O</t>
        </is>
      </c>
      <c r="T4" s="6" t="inlineStr">
        <is>
          <t>CuO</t>
        </is>
      </c>
    </row>
    <row r="5">
      <c r="A5" s="7" t="n">
        <v>500</v>
      </c>
      <c r="B5" s="8" t="n">
        <v>226.9</v>
      </c>
      <c r="C5" s="9" t="n"/>
      <c r="D5" s="10" t="n">
        <v>-1164.1</v>
      </c>
      <c r="E5" s="9" t="n"/>
      <c r="F5" s="10" t="n">
        <v>-1094.9</v>
      </c>
      <c r="G5" s="10" t="n">
        <v>-1003.5</v>
      </c>
      <c r="H5" s="10" t="n">
        <v>-1012.4</v>
      </c>
      <c r="I5" s="9" t="n"/>
      <c r="J5" s="10" t="n">
        <v>-849.8</v>
      </c>
      <c r="K5" s="10" t="n">
        <v>-819.4</v>
      </c>
      <c r="L5" s="10" t="n">
        <v>-698.1</v>
      </c>
      <c r="M5" s="9" t="n"/>
      <c r="N5" s="10" t="n">
        <v>-662.3</v>
      </c>
      <c r="O5" s="9" t="n"/>
      <c r="P5" s="10" t="n">
        <v>-472.1</v>
      </c>
      <c r="Q5" s="9" t="n"/>
      <c r="R5" s="9" t="n"/>
      <c r="S5" s="11" t="n">
        <v>-264.4</v>
      </c>
      <c r="T5" s="12" t="n">
        <v>-218.3</v>
      </c>
    </row>
    <row r="6">
      <c r="A6" s="13" t="n">
        <v>750</v>
      </c>
      <c r="B6" s="14" t="n">
        <v>476.9</v>
      </c>
      <c r="C6" s="15" t="n"/>
      <c r="D6" s="16" t="n">
        <v>-1112.7</v>
      </c>
      <c r="E6" s="15" t="n"/>
      <c r="F6" s="16" t="n">
        <v>-1041.3</v>
      </c>
      <c r="G6" s="16" t="n">
        <v>-956.1</v>
      </c>
      <c r="H6" s="16" t="n">
        <v>-960.3</v>
      </c>
      <c r="I6" s="15" t="n"/>
      <c r="J6" s="16" t="n">
        <v>-804.6</v>
      </c>
      <c r="K6" s="16" t="n">
        <v>-774.3</v>
      </c>
      <c r="L6" s="16" t="n">
        <v>-661.4</v>
      </c>
      <c r="M6" s="15" t="n"/>
      <c r="N6" s="16" t="n">
        <v>-619</v>
      </c>
      <c r="O6" s="15" t="n"/>
      <c r="P6" s="16" t="n">
        <v>-432</v>
      </c>
      <c r="Q6" s="15" t="n"/>
      <c r="R6" s="15" t="n"/>
      <c r="S6" s="17" t="n">
        <v>-227.2</v>
      </c>
      <c r="T6" s="18" t="n">
        <v>-174.4</v>
      </c>
    </row>
    <row r="7">
      <c r="A7" s="19" t="n">
        <v>1000</v>
      </c>
      <c r="B7" s="20" t="n">
        <v>726.9</v>
      </c>
      <c r="C7" s="21" t="n"/>
      <c r="D7" s="22" t="n">
        <v>-1061</v>
      </c>
      <c r="E7" s="21" t="n"/>
      <c r="F7" s="22" t="n">
        <v>-986.8</v>
      </c>
      <c r="G7" s="22" t="n">
        <v>-909.4</v>
      </c>
      <c r="H7" s="22" t="n">
        <v>-907.5</v>
      </c>
      <c r="I7" s="21" t="n"/>
      <c r="J7" s="22" t="n">
        <v>-760.2</v>
      </c>
      <c r="K7" s="22" t="n">
        <v>-730.2</v>
      </c>
      <c r="L7" s="22" t="n">
        <v>-624.9</v>
      </c>
      <c r="M7" s="21" t="n"/>
      <c r="N7" s="22" t="n">
        <v>-576.5</v>
      </c>
      <c r="O7" s="21" t="n"/>
      <c r="P7" s="22" t="n">
        <v>-411.2</v>
      </c>
      <c r="Q7" s="21" t="n"/>
      <c r="R7" s="21" t="n"/>
      <c r="S7" s="23" t="n">
        <v>-190.8</v>
      </c>
      <c r="T7" s="24" t="n">
        <v>-132</v>
      </c>
    </row>
    <row r="8">
      <c r="A8" s="13" t="n">
        <v>1250</v>
      </c>
      <c r="B8" s="14" t="n">
        <v>976.9</v>
      </c>
      <c r="C8" s="15" t="n"/>
      <c r="D8" s="16" t="n">
        <v>-1007</v>
      </c>
      <c r="E8" s="15" t="n"/>
      <c r="F8" s="16" t="n">
        <v>-929</v>
      </c>
      <c r="G8" s="16" t="n">
        <v>-862.8</v>
      </c>
      <c r="H8" s="16" t="n">
        <v>-852.3</v>
      </c>
      <c r="I8" s="15" t="n"/>
      <c r="J8" s="16" t="n">
        <v>-715.9</v>
      </c>
      <c r="K8" s="16" t="n">
        <v>-686.9</v>
      </c>
      <c r="L8" s="16" t="n">
        <v>-587.2</v>
      </c>
      <c r="M8" s="15" t="n"/>
      <c r="N8" s="16" t="n">
        <v>-534.5</v>
      </c>
      <c r="O8" s="15" t="n"/>
      <c r="P8" s="16" t="n">
        <v>-378.1</v>
      </c>
      <c r="Q8" s="15" t="n"/>
      <c r="R8" s="15" t="n"/>
      <c r="S8" s="17" t="n">
        <v>-155.3</v>
      </c>
      <c r="T8" s="18" t="n">
        <v>-90.7</v>
      </c>
    </row>
    <row r="9">
      <c r="A9" s="19" t="n">
        <v>1500</v>
      </c>
      <c r="B9" s="20" t="n">
        <v>1226.8</v>
      </c>
      <c r="C9" s="21" t="n"/>
      <c r="D9" s="22" t="n">
        <v>-951.3</v>
      </c>
      <c r="E9" s="21" t="n"/>
      <c r="F9" s="22" t="n">
        <v>-851.4</v>
      </c>
      <c r="G9" s="22" t="n">
        <v>-816.9</v>
      </c>
      <c r="H9" s="22" t="n">
        <v>-797.5</v>
      </c>
      <c r="I9" s="21" t="n"/>
      <c r="J9" s="22" t="n">
        <v>-671.5</v>
      </c>
      <c r="K9" s="22" t="n">
        <v>-644.3</v>
      </c>
      <c r="L9" s="22" t="n">
        <v>-548.8</v>
      </c>
      <c r="M9" s="21" t="n"/>
      <c r="N9" s="22" t="n">
        <v>-492.7</v>
      </c>
      <c r="O9" s="21" t="n"/>
      <c r="P9" s="22" t="n">
        <v>-345.6</v>
      </c>
      <c r="Q9" s="21" t="n"/>
      <c r="R9" s="21" t="n"/>
      <c r="S9" s="23" t="n">
        <v>-114.9</v>
      </c>
      <c r="T9" s="24" t="n">
        <v>-63.1</v>
      </c>
    </row>
    <row r="10">
      <c r="A10" s="13" t="n">
        <v>1750</v>
      </c>
      <c r="B10" s="14" t="n">
        <v>1476.8</v>
      </c>
      <c r="C10" s="15" t="n"/>
      <c r="D10" s="16" t="n">
        <v>-895.8</v>
      </c>
      <c r="E10" s="15" t="n"/>
      <c r="F10" s="16" t="n">
        <v>-750.4</v>
      </c>
      <c r="G10" s="16" t="n">
        <v>-772.1</v>
      </c>
      <c r="H10" s="16" t="n">
        <v>-743.1</v>
      </c>
      <c r="I10" s="15" t="n"/>
      <c r="J10" s="16" t="n">
        <v>-627.5</v>
      </c>
      <c r="K10" s="16" t="n">
        <v>-600.1</v>
      </c>
      <c r="L10" s="16" t="n">
        <v>-505.2</v>
      </c>
      <c r="M10" s="15" t="n"/>
      <c r="N10" s="16" t="n">
        <v>-450.7</v>
      </c>
      <c r="O10" s="15" t="n"/>
      <c r="P10" s="16" t="n">
        <v>-305.5</v>
      </c>
      <c r="Q10" s="15" t="n"/>
      <c r="R10" s="15" t="n"/>
      <c r="S10" s="17" t="n">
        <v>-92.09999999999999</v>
      </c>
      <c r="T10" s="18" t="n">
        <v>-49.2</v>
      </c>
    </row>
    <row r="11">
      <c r="A11" s="19" t="n">
        <v>1800</v>
      </c>
      <c r="B11" s="20" t="n">
        <v>1526.8</v>
      </c>
      <c r="C11" s="21" t="n"/>
      <c r="D11" s="22" t="n">
        <v>-878.8</v>
      </c>
      <c r="E11" s="21" t="n"/>
      <c r="F11" s="22" t="n">
        <v>-730.3</v>
      </c>
      <c r="G11" s="22" t="n">
        <v>-763.2</v>
      </c>
      <c r="H11" s="22" t="n">
        <v>-732.3</v>
      </c>
      <c r="I11" s="21" t="n"/>
      <c r="J11" s="22" t="n">
        <v>-618.8</v>
      </c>
      <c r="K11" s="22" t="n">
        <v>-590.2</v>
      </c>
      <c r="L11" s="22" t="n">
        <v>-496.4</v>
      </c>
      <c r="M11" s="21" t="n"/>
      <c r="N11" s="22" t="n">
        <v>-442.3</v>
      </c>
      <c r="O11" s="21" t="n"/>
      <c r="P11" s="22" t="n">
        <v>-301.3</v>
      </c>
      <c r="Q11" s="21" t="n"/>
      <c r="R11" s="21" t="n"/>
      <c r="S11" s="23" t="n">
        <v>-87.5</v>
      </c>
      <c r="T11" s="24" t="n">
        <v>-46.5</v>
      </c>
    </row>
    <row r="12">
      <c r="A12" s="25" t="n">
        <v>2000</v>
      </c>
      <c r="B12" s="26" t="n">
        <v>1726.8</v>
      </c>
      <c r="C12" s="27" t="n"/>
      <c r="D12" s="28" t="n">
        <v>-801.3</v>
      </c>
      <c r="E12" s="27" t="n"/>
      <c r="F12" s="28" t="n">
        <v>-650.5</v>
      </c>
      <c r="G12" s="28" t="n">
        <v>-727.7</v>
      </c>
      <c r="H12" s="28" t="n">
        <v>-689.1</v>
      </c>
      <c r="I12" s="27" t="n"/>
      <c r="J12" s="28" t="n">
        <v>-583.4</v>
      </c>
      <c r="K12" s="28" t="n">
        <v>-550.3</v>
      </c>
      <c r="L12" s="28" t="n">
        <v>-460.9</v>
      </c>
      <c r="M12" s="27" t="n"/>
      <c r="N12" s="28" t="n">
        <v>-408.4</v>
      </c>
      <c r="O12" s="27" t="n"/>
      <c r="P12" s="28" t="n">
        <v>-282</v>
      </c>
      <c r="Q12" s="27" t="n"/>
      <c r="R12" s="27" t="n"/>
      <c r="S12" s="29" t="n">
        <v>-68.7</v>
      </c>
      <c r="T12" s="30" t="n">
        <v>-35.7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14" customWidth="1" min="3" max="3"/>
    <col width="11" customWidth="1" min="4" max="4"/>
    <col width="12" customWidth="1" min="5" max="5"/>
    <col width="16" customWidth="1" min="6" max="6"/>
    <col width="35" customWidth="1" min="7" max="7"/>
    <col width="12" customWidth="1" min="8" max="8"/>
    <col width="12" customWidth="1" min="9" max="9"/>
    <col width="30" customWidth="1" min="10" max="10"/>
  </cols>
  <sheetData>
    <row r="1" ht="35" customHeight="1">
      <c r="A1" s="105" t="inlineStr">
        <is>
          <t>Oxide</t>
        </is>
      </c>
      <c r="B1" s="105" t="inlineStr">
        <is>
          <t>Formula</t>
        </is>
      </c>
      <c r="C1" s="105" t="inlineStr">
        <is>
          <t>CAS Number</t>
        </is>
      </c>
      <c r="D1" s="105" t="inlineStr">
        <is>
          <t>Lab Grade
($/g)</t>
        </is>
      </c>
      <c r="E1" s="105" t="inlineStr">
        <is>
          <t>Industrial
($/g)</t>
        </is>
      </c>
      <c r="F1" s="105" t="inlineStr">
        <is>
          <t>Industrial
($/MT)</t>
        </is>
      </c>
      <c r="G1" s="105" t="inlineStr">
        <is>
          <t>SDS Link
(Sigma-Aldrich)</t>
        </is>
      </c>
      <c r="H1" s="105" t="inlineStr">
        <is>
          <t>Sigma
Product #</t>
        </is>
      </c>
      <c r="I1" s="105" t="inlineStr">
        <is>
          <t>Hazard
Level</t>
        </is>
      </c>
      <c r="J1" s="105" t="inlineStr">
        <is>
          <t>GHS Hazard
Statements</t>
        </is>
      </c>
    </row>
    <row r="2" ht="22" customHeight="1">
      <c r="A2" s="106" t="inlineStr">
        <is>
          <t>ORIGINAL SCREENING OXIDES (11)</t>
        </is>
      </c>
      <c r="B2" s="107" t="n"/>
      <c r="C2" s="107" t="n"/>
      <c r="D2" s="107" t="n"/>
      <c r="E2" s="107" t="n"/>
      <c r="F2" s="107" t="n"/>
      <c r="G2" s="107" t="n"/>
      <c r="H2" s="107" t="n"/>
      <c r="I2" s="107" t="n"/>
      <c r="J2" s="107" t="n"/>
    </row>
    <row r="3" ht="28" customHeight="1">
      <c r="A3" s="108" t="inlineStr">
        <is>
          <t>Cu₂O</t>
        </is>
      </c>
      <c r="B3" s="109" t="inlineStr">
        <is>
          <t>Cu2O</t>
        </is>
      </c>
      <c r="C3" s="109" t="inlineStr">
        <is>
          <t>1317-39-1</t>
        </is>
      </c>
      <c r="D3" s="110" t="n">
        <v>0.34</v>
      </c>
      <c r="E3" s="111" t="n">
        <v>0.008</v>
      </c>
      <c r="F3" s="109" t="inlineStr">
        <is>
          <t>5,000-10,000</t>
        </is>
      </c>
      <c r="G3" s="112" t="inlineStr">
        <is>
          <t>https://www.sigmaaldrich.com/US/en/product/sigald/208825</t>
        </is>
      </c>
      <c r="H3" s="109" t="inlineStr">
        <is>
          <t>208825</t>
        </is>
      </c>
      <c r="I3" s="109" t="inlineStr">
        <is>
          <t>Moderate</t>
        </is>
      </c>
      <c r="J3" s="109" t="inlineStr">
        <is>
          <t>H302, H332, H410</t>
        </is>
      </c>
    </row>
    <row r="4" ht="28" customHeight="1">
      <c r="A4" s="113" t="inlineStr">
        <is>
          <t>CuO</t>
        </is>
      </c>
      <c r="B4" s="114" t="inlineStr">
        <is>
          <t>CuO</t>
        </is>
      </c>
      <c r="C4" s="114" t="inlineStr">
        <is>
          <t>1317-38-0</t>
        </is>
      </c>
      <c r="D4" s="115" t="n">
        <v>0.38</v>
      </c>
      <c r="E4" s="116" t="n">
        <v>0.008</v>
      </c>
      <c r="F4" s="114" t="inlineStr">
        <is>
          <t>5,000-10,000</t>
        </is>
      </c>
      <c r="G4" s="117" t="inlineStr">
        <is>
          <t>https://www.sigmaaldrich.com/US/en/product/sigald/208841</t>
        </is>
      </c>
      <c r="H4" s="114" t="inlineStr">
        <is>
          <t>208841</t>
        </is>
      </c>
      <c r="I4" s="114" t="inlineStr">
        <is>
          <t>Low</t>
        </is>
      </c>
      <c r="J4" s="114" t="inlineStr">
        <is>
          <t>H410</t>
        </is>
      </c>
    </row>
    <row r="5" ht="28" customHeight="1">
      <c r="A5" s="108" t="inlineStr">
        <is>
          <t>Al₂O₃</t>
        </is>
      </c>
      <c r="B5" s="109" t="inlineStr">
        <is>
          <t>Al2O3</t>
        </is>
      </c>
      <c r="C5" s="109" t="inlineStr">
        <is>
          <t>1344-28-1</t>
        </is>
      </c>
      <c r="D5" s="110" t="n">
        <v>0.09</v>
      </c>
      <c r="E5" s="111" t="n">
        <v>0.0005</v>
      </c>
      <c r="F5" s="109" t="inlineStr">
        <is>
          <t>400-800</t>
        </is>
      </c>
      <c r="G5" s="112" t="inlineStr">
        <is>
          <t>https://www.sigmaaldrich.com/US/en/product/sigald/11028</t>
        </is>
      </c>
      <c r="H5" s="109" t="inlineStr">
        <is>
          <t>11028</t>
        </is>
      </c>
      <c r="I5" s="109" t="inlineStr">
        <is>
          <t>Low</t>
        </is>
      </c>
      <c r="J5" s="109" t="inlineStr">
        <is>
          <t>Not classified</t>
        </is>
      </c>
    </row>
    <row r="6" ht="28" customHeight="1">
      <c r="A6" s="113" t="inlineStr">
        <is>
          <t>MgO</t>
        </is>
      </c>
      <c r="B6" s="114" t="inlineStr">
        <is>
          <t>MgO</t>
        </is>
      </c>
      <c r="C6" s="114" t="inlineStr">
        <is>
          <t>1309-48-4</t>
        </is>
      </c>
      <c r="D6" s="115" t="n">
        <v>0.13</v>
      </c>
      <c r="E6" s="116" t="n">
        <v>0.0003</v>
      </c>
      <c r="F6" s="114" t="inlineStr">
        <is>
          <t>105-600</t>
        </is>
      </c>
      <c r="G6" s="117" t="inlineStr">
        <is>
          <t>https://www.sigmaaldrich.com/US/en/sds/aldrich/529699</t>
        </is>
      </c>
      <c r="H6" s="114" t="inlineStr">
        <is>
          <t>529699</t>
        </is>
      </c>
      <c r="I6" s="114" t="inlineStr">
        <is>
          <t>Low</t>
        </is>
      </c>
      <c r="J6" s="114" t="inlineStr">
        <is>
          <t>Not classified</t>
        </is>
      </c>
    </row>
    <row r="7" ht="28" customHeight="1">
      <c r="A7" s="108" t="inlineStr">
        <is>
          <t>SiO₂</t>
        </is>
      </c>
      <c r="B7" s="109" t="inlineStr">
        <is>
          <t>SiO2</t>
        </is>
      </c>
      <c r="C7" s="109" t="inlineStr">
        <is>
          <t>7631-86-9</t>
        </is>
      </c>
      <c r="D7" s="110" t="n">
        <v>0.1</v>
      </c>
      <c r="E7" s="111" t="n">
        <v>5e-05</v>
      </c>
      <c r="F7" s="109" t="inlineStr">
        <is>
          <t>48-63</t>
        </is>
      </c>
      <c r="G7" s="112" t="inlineStr">
        <is>
          <t>https://www.sigmaaldrich.com/US/en/sds/aldrich/637238</t>
        </is>
      </c>
      <c r="H7" s="109" t="inlineStr">
        <is>
          <t>637238</t>
        </is>
      </c>
      <c r="I7" s="109" t="inlineStr">
        <is>
          <t>Moderate</t>
        </is>
      </c>
      <c r="J7" s="109" t="inlineStr">
        <is>
          <t>H372 (crystalline)</t>
        </is>
      </c>
    </row>
    <row r="8" ht="28" customHeight="1">
      <c r="A8" s="113" t="inlineStr">
        <is>
          <t>TiO₂</t>
        </is>
      </c>
      <c r="B8" s="114" t="inlineStr">
        <is>
          <t>TiO2</t>
        </is>
      </c>
      <c r="C8" s="114" t="inlineStr">
        <is>
          <t>13463-67-7</t>
        </is>
      </c>
      <c r="D8" s="115" t="n">
        <v>0.29</v>
      </c>
      <c r="E8" s="116" t="n">
        <v>0.003</v>
      </c>
      <c r="F8" s="114" t="inlineStr">
        <is>
          <t>1,900-3,400</t>
        </is>
      </c>
      <c r="G8" s="117" t="inlineStr">
        <is>
          <t>https://www.sigmaaldrich.com/US/en/product/sigald/14021</t>
        </is>
      </c>
      <c r="H8" s="114" t="inlineStr">
        <is>
          <t>14021</t>
        </is>
      </c>
      <c r="I8" s="114" t="inlineStr">
        <is>
          <t>Moderate</t>
        </is>
      </c>
      <c r="J8" s="114" t="inlineStr">
        <is>
          <t>H351 (IARC 2B)</t>
        </is>
      </c>
    </row>
    <row r="9" ht="28" customHeight="1">
      <c r="A9" s="108" t="inlineStr">
        <is>
          <t>FeO</t>
        </is>
      </c>
      <c r="B9" s="109" t="inlineStr">
        <is>
          <t>FeO</t>
        </is>
      </c>
      <c r="C9" s="109" t="inlineStr">
        <is>
          <t>1345-25-1</t>
        </is>
      </c>
      <c r="D9" s="110" t="n">
        <v>0.75</v>
      </c>
      <c r="E9" s="111" t="n">
        <v>0.0009</v>
      </c>
      <c r="F9" s="109" t="inlineStr">
        <is>
          <t>700-1,000</t>
        </is>
      </c>
      <c r="G9" s="112" t="inlineStr">
        <is>
          <t>https://www.sigmaaldrich.com/US/en/sds/aldrich/400866</t>
        </is>
      </c>
      <c r="H9" s="109" t="inlineStr">
        <is>
          <t>400866</t>
        </is>
      </c>
      <c r="I9" s="109" t="inlineStr">
        <is>
          <t>Low</t>
        </is>
      </c>
      <c r="J9" s="109" t="inlineStr">
        <is>
          <t>Not classified</t>
        </is>
      </c>
    </row>
    <row r="10" ht="28" customHeight="1">
      <c r="A10" s="113" t="inlineStr">
        <is>
          <t>CaO</t>
        </is>
      </c>
      <c r="B10" s="114" t="inlineStr">
        <is>
          <t>CaO</t>
        </is>
      </c>
      <c r="C10" s="114" t="inlineStr">
        <is>
          <t>1305-78-8</t>
        </is>
      </c>
      <c r="D10" s="115" t="n">
        <v>0.16</v>
      </c>
      <c r="E10" s="116" t="n">
        <v>0.0002</v>
      </c>
      <c r="F10" s="114" t="inlineStr">
        <is>
          <t>130-250</t>
        </is>
      </c>
      <c r="G10" s="117" t="inlineStr">
        <is>
          <t>https://www.sigmaaldrich.com/US/en/product/sigald/248568</t>
        </is>
      </c>
      <c r="H10" s="114" t="inlineStr">
        <is>
          <t>248568</t>
        </is>
      </c>
      <c r="I10" s="114" t="inlineStr">
        <is>
          <t>Moderate</t>
        </is>
      </c>
      <c r="J10" s="114" t="inlineStr">
        <is>
          <t>H315, H318, H335</t>
        </is>
      </c>
    </row>
    <row r="11" ht="28" customHeight="1">
      <c r="A11" s="108" t="inlineStr">
        <is>
          <t>ZrO₂</t>
        </is>
      </c>
      <c r="B11" s="109" t="inlineStr">
        <is>
          <t>ZrO2</t>
        </is>
      </c>
      <c r="C11" s="109" t="inlineStr">
        <is>
          <t>1314-23-4</t>
        </is>
      </c>
      <c r="D11" s="110" t="n">
        <v>0.67</v>
      </c>
      <c r="E11" s="111" t="n">
        <v>0.035</v>
      </c>
      <c r="F11" s="109" t="inlineStr">
        <is>
          <t>3,000-50,000</t>
        </is>
      </c>
      <c r="G11" s="112" t="inlineStr">
        <is>
          <t>https://www.sigmaaldrich.com/US/en/product/aldrich/230693</t>
        </is>
      </c>
      <c r="H11" s="109" t="inlineStr">
        <is>
          <t>230693</t>
        </is>
      </c>
      <c r="I11" s="109" t="inlineStr">
        <is>
          <t>Low</t>
        </is>
      </c>
      <c r="J11" s="109" t="inlineStr">
        <is>
          <t>Not classified</t>
        </is>
      </c>
    </row>
    <row r="12" ht="28" customHeight="1">
      <c r="A12" s="113" t="inlineStr">
        <is>
          <t>Cr₂O₃</t>
        </is>
      </c>
      <c r="B12" s="114" t="inlineStr">
        <is>
          <t>Cr2O3</t>
        </is>
      </c>
      <c r="C12" s="114" t="inlineStr">
        <is>
          <t>1308-38-9</t>
        </is>
      </c>
      <c r="D12" s="115" t="n">
        <v>2.38</v>
      </c>
      <c r="E12" s="116" t="n">
        <v>0.005</v>
      </c>
      <c r="F12" s="114" t="inlineStr">
        <is>
          <t>3,700-5,500</t>
        </is>
      </c>
      <c r="G12" s="117" t="inlineStr">
        <is>
          <t>https://www.sigmaaldrich.com/US/en/product/sigald/393703</t>
        </is>
      </c>
      <c r="H12" s="114" t="inlineStr">
        <is>
          <t>393703</t>
        </is>
      </c>
      <c r="I12" s="114" t="inlineStr">
        <is>
          <t>Moderate</t>
        </is>
      </c>
      <c r="J12" s="114" t="inlineStr">
        <is>
          <t>H315, H319, H335, H372</t>
        </is>
      </c>
    </row>
    <row r="13" ht="28" customHeight="1">
      <c r="A13" s="108" t="inlineStr">
        <is>
          <t>MnO</t>
        </is>
      </c>
      <c r="B13" s="109" t="inlineStr">
        <is>
          <t>MnO</t>
        </is>
      </c>
      <c r="C13" s="109" t="inlineStr">
        <is>
          <t>1344-43-0</t>
        </is>
      </c>
      <c r="D13" s="110" t="n">
        <v>0.55</v>
      </c>
      <c r="E13" s="111" t="n">
        <v>0.005</v>
      </c>
      <c r="F13" s="109" t="inlineStr">
        <is>
          <t>3,500-6,500</t>
        </is>
      </c>
      <c r="G13" s="112" t="inlineStr">
        <is>
          <t>https://www.sigmaaldrich.com/US/en/product/aldrich/377201</t>
        </is>
      </c>
      <c r="H13" s="109" t="inlineStr">
        <is>
          <t>377201</t>
        </is>
      </c>
      <c r="I13" s="109" t="inlineStr">
        <is>
          <t>Moderate</t>
        </is>
      </c>
      <c r="J13" s="109" t="inlineStr">
        <is>
          <t>H302, H332</t>
        </is>
      </c>
    </row>
    <row r="14" ht="22" customHeight="1">
      <c r="A14" s="106" t="inlineStr">
        <is>
          <t>MOONSHOT CANDIDATES (7)</t>
        </is>
      </c>
      <c r="B14" s="107" t="n"/>
      <c r="C14" s="107" t="n"/>
      <c r="D14" s="107" t="n"/>
      <c r="E14" s="107" t="n"/>
      <c r="F14" s="107" t="n"/>
      <c r="G14" s="107" t="n"/>
      <c r="H14" s="107" t="n"/>
      <c r="I14" s="107" t="n"/>
      <c r="J14" s="107" t="n"/>
    </row>
    <row r="15" ht="28" customHeight="1">
      <c r="A15" s="113" t="inlineStr">
        <is>
          <t>NiO</t>
        </is>
      </c>
      <c r="B15" s="114" t="inlineStr">
        <is>
          <t>NiO</t>
        </is>
      </c>
      <c r="C15" s="114" t="inlineStr">
        <is>
          <t>1313-99-1</t>
        </is>
      </c>
      <c r="D15" s="115" t="n">
        <v>0.7</v>
      </c>
      <c r="E15" s="116" t="n">
        <v>0.016</v>
      </c>
      <c r="F15" s="114" t="inlineStr">
        <is>
          <t>13,000-20,000</t>
        </is>
      </c>
      <c r="G15" s="117" t="inlineStr">
        <is>
          <t>https://www.sigmaaldrich.com/US/en/product/aldrich/203882</t>
        </is>
      </c>
      <c r="H15" s="114" t="inlineStr">
        <is>
          <t>203882</t>
        </is>
      </c>
      <c r="I15" s="118" t="inlineStr">
        <is>
          <t>HIGH</t>
        </is>
      </c>
      <c r="J15" s="114" t="inlineStr">
        <is>
          <t>H317, H350i, H372</t>
        </is>
      </c>
    </row>
    <row r="16" ht="28" customHeight="1">
      <c r="A16" s="108" t="inlineStr">
        <is>
          <t>CoO</t>
        </is>
      </c>
      <c r="B16" s="109" t="inlineStr">
        <is>
          <t>CoO</t>
        </is>
      </c>
      <c r="C16" s="109" t="inlineStr">
        <is>
          <t>1307-96-6</t>
        </is>
      </c>
      <c r="D16" s="110" t="n">
        <v>1</v>
      </c>
      <c r="E16" s="111" t="n">
        <v>0.018</v>
      </c>
      <c r="F16" s="109" t="inlineStr">
        <is>
          <t>16,000-20,000</t>
        </is>
      </c>
      <c r="G16" s="112" t="inlineStr">
        <is>
          <t>https://www.sigmaaldrich.com/US/en/product/aldrich/529443</t>
        </is>
      </c>
      <c r="H16" s="109" t="inlineStr">
        <is>
          <t>529443</t>
        </is>
      </c>
      <c r="I16" s="118" t="inlineStr">
        <is>
          <t>HIGH</t>
        </is>
      </c>
      <c r="J16" s="109" t="inlineStr">
        <is>
          <t>H301, H317, H330, H350i, H360F, H410</t>
        </is>
      </c>
    </row>
    <row r="17" ht="28" customHeight="1">
      <c r="A17" s="113" t="inlineStr">
        <is>
          <t>PbO</t>
        </is>
      </c>
      <c r="B17" s="114" t="inlineStr">
        <is>
          <t>PbO</t>
        </is>
      </c>
      <c r="C17" s="114" t="inlineStr">
        <is>
          <t>1317-36-8</t>
        </is>
      </c>
      <c r="D17" s="115" t="n">
        <v>0.26</v>
      </c>
      <c r="E17" s="116" t="n">
        <v>0.004</v>
      </c>
      <c r="F17" s="114" t="inlineStr">
        <is>
          <t>2,000-5,000</t>
        </is>
      </c>
      <c r="G17" s="117" t="inlineStr">
        <is>
          <t>https://www.sigmaaldrich.com/US/en/product/sigald/211907</t>
        </is>
      </c>
      <c r="H17" s="114" t="inlineStr">
        <is>
          <t>211907</t>
        </is>
      </c>
      <c r="I17" s="118" t="inlineStr">
        <is>
          <t>HIGH</t>
        </is>
      </c>
      <c r="J17" s="114" t="inlineStr">
        <is>
          <t>H302, H332, H351, H360, H372, H410</t>
        </is>
      </c>
    </row>
    <row r="18" ht="28" customHeight="1">
      <c r="A18" s="108" t="inlineStr">
        <is>
          <t>B₂O₃</t>
        </is>
      </c>
      <c r="B18" s="109" t="inlineStr">
        <is>
          <t>B2O3</t>
        </is>
      </c>
      <c r="C18" s="109" t="inlineStr">
        <is>
          <t>1303-86-2</t>
        </is>
      </c>
      <c r="D18" s="110" t="n">
        <v>1.09</v>
      </c>
      <c r="E18" s="111" t="n">
        <v>0.003</v>
      </c>
      <c r="F18" s="109" t="inlineStr">
        <is>
          <t>1,500-4,000</t>
        </is>
      </c>
      <c r="G18" s="112" t="inlineStr">
        <is>
          <t>https://www.sigmaaldrich.com/US/en/product/sial/339075</t>
        </is>
      </c>
      <c r="H18" s="109" t="inlineStr">
        <is>
          <t>339075</t>
        </is>
      </c>
      <c r="I18" s="109" t="inlineStr">
        <is>
          <t>Moderate</t>
        </is>
      </c>
      <c r="J18" s="109" t="inlineStr">
        <is>
          <t>H360FD (Repr. 1B)</t>
        </is>
      </c>
    </row>
    <row r="19" ht="28" customHeight="1">
      <c r="A19" s="113" t="inlineStr">
        <is>
          <t>V₂O₅</t>
        </is>
      </c>
      <c r="B19" s="114" t="inlineStr">
        <is>
          <t>V2O5</t>
        </is>
      </c>
      <c r="C19" s="114" t="inlineStr">
        <is>
          <t>1314-62-1</t>
        </is>
      </c>
      <c r="D19" s="115" t="n">
        <v>1</v>
      </c>
      <c r="E19" s="116" t="n">
        <v>0.011</v>
      </c>
      <c r="F19" s="114" t="inlineStr">
        <is>
          <t>9,000-13,000</t>
        </is>
      </c>
      <c r="G19" s="117" t="inlineStr">
        <is>
          <t>https://www.sigmaaldrich.com/US/en/product/aldrich/221899</t>
        </is>
      </c>
      <c r="H19" s="114" t="inlineStr">
        <is>
          <t>221899</t>
        </is>
      </c>
      <c r="I19" s="118" t="inlineStr">
        <is>
          <t>HIGH</t>
        </is>
      </c>
      <c r="J19" s="114" t="inlineStr">
        <is>
          <t>H302, H330, H341, H350i, H361d, H372</t>
        </is>
      </c>
    </row>
    <row r="20" ht="28" customHeight="1">
      <c r="A20" s="108" t="inlineStr">
        <is>
          <t>La₂O₃</t>
        </is>
      </c>
      <c r="B20" s="109" t="inlineStr">
        <is>
          <t>La2O3</t>
        </is>
      </c>
      <c r="C20" s="109" t="inlineStr">
        <is>
          <t>1312-81-8</t>
        </is>
      </c>
      <c r="D20" s="110" t="n">
        <v>1.25</v>
      </c>
      <c r="E20" s="111" t="n">
        <v>0.01</v>
      </c>
      <c r="F20" s="109" t="inlineStr">
        <is>
          <t>5,000-15,000</t>
        </is>
      </c>
      <c r="G20" s="112" t="inlineStr">
        <is>
          <t>https://www.sigmaaldrich.com/US/en/product/aldrich/l4000</t>
        </is>
      </c>
      <c r="H20" s="109" t="inlineStr">
        <is>
          <t>L4000</t>
        </is>
      </c>
      <c r="I20" s="109" t="inlineStr">
        <is>
          <t>Low</t>
        </is>
      </c>
      <c r="J20" s="109" t="inlineStr">
        <is>
          <t>H319, H335</t>
        </is>
      </c>
    </row>
    <row r="21" ht="28" customHeight="1">
      <c r="A21" s="113" t="inlineStr">
        <is>
          <t>CeO₂</t>
        </is>
      </c>
      <c r="B21" s="114" t="inlineStr">
        <is>
          <t>CeO2</t>
        </is>
      </c>
      <c r="C21" s="114" t="inlineStr">
        <is>
          <t>1306-38-3</t>
        </is>
      </c>
      <c r="D21" s="115" t="n">
        <v>0.9</v>
      </c>
      <c r="E21" s="116" t="n">
        <v>0.006</v>
      </c>
      <c r="F21" s="114" t="inlineStr">
        <is>
          <t>3,000-10,000</t>
        </is>
      </c>
      <c r="G21" s="117" t="inlineStr">
        <is>
          <t>https://www.sigmaaldrich.com/US/en/product/aldrich/211575</t>
        </is>
      </c>
      <c r="H21" s="114" t="inlineStr">
        <is>
          <t>211575</t>
        </is>
      </c>
      <c r="I21" s="114" t="inlineStr">
        <is>
          <t>Low</t>
        </is>
      </c>
      <c r="J21" s="114" t="inlineStr">
        <is>
          <t>Mild irritant</t>
        </is>
      </c>
    </row>
    <row r="24" ht="22" customHeight="1">
      <c r="A24" s="106" t="inlineStr">
        <is>
          <t>COST TIERS (Industrial Bulk)</t>
        </is>
      </c>
      <c r="B24" s="107" t="n"/>
      <c r="C24" s="107" t="n"/>
      <c r="D24" s="107" t="n"/>
      <c r="E24" s="107" t="n"/>
      <c r="F24" s="107" t="n"/>
      <c r="G24" s="107" t="n"/>
      <c r="H24" s="107" t="n"/>
      <c r="I24" s="107" t="n"/>
      <c r="J24" s="107" t="n"/>
    </row>
    <row r="25" ht="28" customHeight="1">
      <c r="A25" s="108" t="inlineStr">
        <is>
          <t>Essentially free (&lt;$0.001/g)</t>
        </is>
      </c>
      <c r="B25" s="109" t="inlineStr">
        <is>
          <t>SiO₂, CaO, MgO, Al₂O₃</t>
        </is>
      </c>
      <c r="C25" s="109" t="inlineStr">
        <is>
          <t>Commodity minerals, unlimited supply</t>
        </is>
      </c>
    </row>
    <row r="26" ht="28" customHeight="1">
      <c r="A26" s="113" t="inlineStr">
        <is>
          <t>Low cost ($0.001-0.010/g)</t>
        </is>
      </c>
      <c r="B26" s="114" t="inlineStr">
        <is>
          <t>TiO₂, CuO/Cu₂O, Cr₂O₃, MnO, PbO, B₂O₃, CeO₂, La₂O₃, FeO</t>
        </is>
      </c>
      <c r="C26" s="114" t="inlineStr">
        <is>
          <t>Industrial chemicals, widely available</t>
        </is>
      </c>
    </row>
    <row r="27" ht="28" customHeight="1">
      <c r="A27" s="108" t="inlineStr">
        <is>
          <t>Mid cost ($0.010-0.020/g)</t>
        </is>
      </c>
      <c r="B27" s="109" t="inlineStr">
        <is>
          <t>NiO, CoO, V₂O₅</t>
        </is>
      </c>
      <c r="C27" s="109" t="inlineStr">
        <is>
          <t>Prices track base metal markets</t>
        </is>
      </c>
    </row>
    <row r="28" ht="28" customHeight="1">
      <c r="A28" s="113" t="inlineStr">
        <is>
          <t>High cost ($0.020-0.050/g)</t>
        </is>
      </c>
      <c r="B28" s="114" t="inlineStr">
        <is>
          <t>ZrO₂ (high purity)</t>
        </is>
      </c>
      <c r="C28" s="114" t="inlineStr">
        <is>
          <t>Specialty ceramics</t>
        </is>
      </c>
    </row>
  </sheetData>
  <mergeCells count="7">
    <mergeCell ref="C26:J26"/>
    <mergeCell ref="A14:J14"/>
    <mergeCell ref="C25:J25"/>
    <mergeCell ref="C28:J28"/>
    <mergeCell ref="C27:J27"/>
    <mergeCell ref="A24:J24"/>
    <mergeCell ref="A2:J2"/>
  </mergeCells>
  <hyperlinks>
    <hyperlink xmlns:r="http://schemas.openxmlformats.org/officeDocument/2006/relationships" ref="G3" r:id="rId1"/>
    <hyperlink xmlns:r="http://schemas.openxmlformats.org/officeDocument/2006/relationships" ref="G4" r:id="rId2"/>
    <hyperlink xmlns:r="http://schemas.openxmlformats.org/officeDocument/2006/relationships" ref="G5" r:id="rId3"/>
    <hyperlink xmlns:r="http://schemas.openxmlformats.org/officeDocument/2006/relationships" ref="G6" r:id="rId4"/>
    <hyperlink xmlns:r="http://schemas.openxmlformats.org/officeDocument/2006/relationships" ref="G7" r:id="rId5"/>
    <hyperlink xmlns:r="http://schemas.openxmlformats.org/officeDocument/2006/relationships" ref="G8" r:id="rId6"/>
    <hyperlink xmlns:r="http://schemas.openxmlformats.org/officeDocument/2006/relationships" ref="G9" r:id="rId7"/>
    <hyperlink xmlns:r="http://schemas.openxmlformats.org/officeDocument/2006/relationships" ref="G10" r:id="rId8"/>
    <hyperlink xmlns:r="http://schemas.openxmlformats.org/officeDocument/2006/relationships" ref="G11" r:id="rId9"/>
    <hyperlink xmlns:r="http://schemas.openxmlformats.org/officeDocument/2006/relationships" ref="G12" r:id="rId10"/>
    <hyperlink xmlns:r="http://schemas.openxmlformats.org/officeDocument/2006/relationships" ref="G13" r:id="rId11"/>
    <hyperlink xmlns:r="http://schemas.openxmlformats.org/officeDocument/2006/relationships" ref="G15" r:id="rId12"/>
    <hyperlink xmlns:r="http://schemas.openxmlformats.org/officeDocument/2006/relationships" ref="G16" r:id="rId13"/>
    <hyperlink xmlns:r="http://schemas.openxmlformats.org/officeDocument/2006/relationships" ref="G17" r:id="rId14"/>
    <hyperlink xmlns:r="http://schemas.openxmlformats.org/officeDocument/2006/relationships" ref="G18" r:id="rId15"/>
    <hyperlink xmlns:r="http://schemas.openxmlformats.org/officeDocument/2006/relationships" ref="G19" r:id="rId16"/>
    <hyperlink xmlns:r="http://schemas.openxmlformats.org/officeDocument/2006/relationships" ref="G20" r:id="rId17"/>
    <hyperlink xmlns:r="http://schemas.openxmlformats.org/officeDocument/2006/relationships" ref="G21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5" customWidth="1" min="4" max="4"/>
    <col width="16" customWidth="1" min="5" max="5"/>
    <col width="5" customWidth="1" min="6" max="6"/>
    <col width="14" customWidth="1" min="7" max="7"/>
    <col width="20" customWidth="1" min="8" max="8"/>
  </cols>
  <sheetData>
    <row r="1">
      <c r="A1" s="1" t="inlineStr">
        <is>
          <t>Reaction ΔG: Can Cu Reduce Each Oxide?</t>
        </is>
      </c>
    </row>
    <row r="2">
      <c r="A2" s="2" t="inlineStr">
        <is>
          <t>ΔG_rxn = ΔG_f(Cu₂O) − ΔG_f(MOₓ) per mol O₂  |  Positive = CANNOT reduce (thermodynamically favorable to keep the oxide)</t>
        </is>
      </c>
    </row>
    <row r="4">
      <c r="A4" s="31" t="inlineStr">
        <is>
          <t>Temperature: 727°C / 1000 K</t>
        </is>
      </c>
    </row>
    <row r="5">
      <c r="A5" s="32" t="inlineStr">
        <is>
          <t>Cu₂O reference ΔG_f:</t>
        </is>
      </c>
      <c r="D5" s="33">
        <f>'Formation Energies'!S7</f>
        <v/>
      </c>
      <c r="E5" s="34" t="inlineStr">
        <is>
          <t>kJ/mol O₂</t>
        </is>
      </c>
    </row>
    <row r="6">
      <c r="A6" s="3" t="inlineStr">
        <is>
          <t>Oxide</t>
        </is>
      </c>
      <c r="B6" s="4" t="inlineStr">
        <is>
          <t>ΔG_f(MOₓ)</t>
        </is>
      </c>
      <c r="C6" s="4" t="inlineStr">
        <is>
          <t>ΔG_f(Cu₂O)</t>
        </is>
      </c>
      <c r="D6" s="4" t="inlineStr"/>
      <c r="E6" s="4" t="inlineStr">
        <is>
          <t>ΔG_f(MOₓ)</t>
        </is>
      </c>
      <c r="F6" s="4" t="inlineStr"/>
      <c r="G6" s="4" t="inlineStr">
        <is>
          <t>ΔG_rxn</t>
        </is>
      </c>
      <c r="H6" s="6" t="inlineStr">
        <is>
          <t>Verdict</t>
        </is>
      </c>
    </row>
    <row r="7">
      <c r="A7" s="35" t="inlineStr">
        <is>
          <t>CaO</t>
        </is>
      </c>
      <c r="B7" s="10">
        <f>'Formation Energies'!D7</f>
        <v/>
      </c>
      <c r="C7" s="11">
        <f>'Formation Energies'!S7</f>
        <v/>
      </c>
      <c r="D7" s="36" t="inlineStr">
        <is>
          <t>−</t>
        </is>
      </c>
      <c r="E7" s="10">
        <f>'Formation Energies'!D7</f>
        <v/>
      </c>
      <c r="F7" s="36" t="inlineStr">
        <is>
          <t>=</t>
        </is>
      </c>
      <c r="G7" s="37">
        <f>C7-B7</f>
        <v/>
      </c>
      <c r="H7" s="38">
        <f>IF(G7&gt;0,"CANNOT reduce","CAN reduce")</f>
        <v/>
      </c>
    </row>
    <row r="8">
      <c r="A8" s="39" t="inlineStr">
        <is>
          <t>MgO</t>
        </is>
      </c>
      <c r="B8" s="16">
        <f>'Formation Energies'!F7</f>
        <v/>
      </c>
      <c r="C8" s="17">
        <f>'Formation Energies'!S7</f>
        <v/>
      </c>
      <c r="D8" s="40" t="inlineStr">
        <is>
          <t>−</t>
        </is>
      </c>
      <c r="E8" s="16">
        <f>'Formation Energies'!F7</f>
        <v/>
      </c>
      <c r="F8" s="40" t="inlineStr">
        <is>
          <t>=</t>
        </is>
      </c>
      <c r="G8" s="41">
        <f>C8-B8</f>
        <v/>
      </c>
      <c r="H8" s="42">
        <f>IF(G8&gt;0,"CANNOT reduce","CAN reduce")</f>
        <v/>
      </c>
    </row>
    <row r="9">
      <c r="A9" s="43" t="inlineStr">
        <is>
          <t>ZrO₂</t>
        </is>
      </c>
      <c r="B9" s="44">
        <f>'Formation Energies'!G7</f>
        <v/>
      </c>
      <c r="C9" s="17">
        <f>'Formation Energies'!S7</f>
        <v/>
      </c>
      <c r="D9" s="45" t="inlineStr">
        <is>
          <t>−</t>
        </is>
      </c>
      <c r="E9" s="44">
        <f>'Formation Energies'!G7</f>
        <v/>
      </c>
      <c r="F9" s="45" t="inlineStr">
        <is>
          <t>=</t>
        </is>
      </c>
      <c r="G9" s="46">
        <f>C9-B9</f>
        <v/>
      </c>
      <c r="H9" s="47">
        <f>IF(G9&gt;0,"CANNOT reduce","CAN reduce")</f>
        <v/>
      </c>
    </row>
    <row r="10">
      <c r="A10" s="39" t="inlineStr">
        <is>
          <t>Al₂O₃</t>
        </is>
      </c>
      <c r="B10" s="16">
        <f>'Formation Energies'!H7</f>
        <v/>
      </c>
      <c r="C10" s="17">
        <f>'Formation Energies'!S7</f>
        <v/>
      </c>
      <c r="D10" s="40" t="inlineStr">
        <is>
          <t>−</t>
        </is>
      </c>
      <c r="E10" s="16">
        <f>'Formation Energies'!H7</f>
        <v/>
      </c>
      <c r="F10" s="40" t="inlineStr">
        <is>
          <t>=</t>
        </is>
      </c>
      <c r="G10" s="41">
        <f>C10-B10</f>
        <v/>
      </c>
      <c r="H10" s="42">
        <f>IF(G10&gt;0,"CANNOT reduce","CAN reduce")</f>
        <v/>
      </c>
    </row>
    <row r="11">
      <c r="A11" s="43" t="inlineStr">
        <is>
          <t>TiO₂</t>
        </is>
      </c>
      <c r="B11" s="44">
        <f>'Formation Energies'!J7</f>
        <v/>
      </c>
      <c r="C11" s="17">
        <f>'Formation Energies'!S7</f>
        <v/>
      </c>
      <c r="D11" s="45" t="inlineStr">
        <is>
          <t>−</t>
        </is>
      </c>
      <c r="E11" s="44">
        <f>'Formation Energies'!J7</f>
        <v/>
      </c>
      <c r="F11" s="45" t="inlineStr">
        <is>
          <t>=</t>
        </is>
      </c>
      <c r="G11" s="46">
        <f>C11-B11</f>
        <v/>
      </c>
      <c r="H11" s="47">
        <f>IF(G11&gt;0,"CANNOT reduce","CAN reduce")</f>
        <v/>
      </c>
    </row>
    <row r="12">
      <c r="A12" s="39" t="inlineStr">
        <is>
          <t>SiO₂</t>
        </is>
      </c>
      <c r="B12" s="16">
        <f>'Formation Energies'!K7</f>
        <v/>
      </c>
      <c r="C12" s="17">
        <f>'Formation Energies'!S7</f>
        <v/>
      </c>
      <c r="D12" s="40" t="inlineStr">
        <is>
          <t>−</t>
        </is>
      </c>
      <c r="E12" s="16">
        <f>'Formation Energies'!K7</f>
        <v/>
      </c>
      <c r="F12" s="40" t="inlineStr">
        <is>
          <t>=</t>
        </is>
      </c>
      <c r="G12" s="41">
        <f>C12-B12</f>
        <v/>
      </c>
      <c r="H12" s="42">
        <f>IF(G12&gt;0,"CANNOT reduce","CAN reduce")</f>
        <v/>
      </c>
    </row>
    <row r="13">
      <c r="A13" s="43" t="inlineStr">
        <is>
          <t>MnO</t>
        </is>
      </c>
      <c r="B13" s="44">
        <f>'Formation Energies'!L7</f>
        <v/>
      </c>
      <c r="C13" s="17">
        <f>'Formation Energies'!S7</f>
        <v/>
      </c>
      <c r="D13" s="45" t="inlineStr">
        <is>
          <t>−</t>
        </is>
      </c>
      <c r="E13" s="44">
        <f>'Formation Energies'!L7</f>
        <v/>
      </c>
      <c r="F13" s="45" t="inlineStr">
        <is>
          <t>=</t>
        </is>
      </c>
      <c r="G13" s="46">
        <f>C13-B13</f>
        <v/>
      </c>
      <c r="H13" s="47">
        <f>IF(G13&gt;0,"CANNOT reduce","CAN reduce")</f>
        <v/>
      </c>
    </row>
    <row r="14">
      <c r="A14" s="39" t="inlineStr">
        <is>
          <t>Cr₂O₃</t>
        </is>
      </c>
      <c r="B14" s="16">
        <f>'Formation Energies'!N7</f>
        <v/>
      </c>
      <c r="C14" s="17">
        <f>'Formation Energies'!S7</f>
        <v/>
      </c>
      <c r="D14" s="40" t="inlineStr">
        <is>
          <t>−</t>
        </is>
      </c>
      <c r="E14" s="16">
        <f>'Formation Energies'!N7</f>
        <v/>
      </c>
      <c r="F14" s="40" t="inlineStr">
        <is>
          <t>=</t>
        </is>
      </c>
      <c r="G14" s="41">
        <f>C14-B14</f>
        <v/>
      </c>
      <c r="H14" s="42">
        <f>IF(G14&gt;0,"CANNOT reduce","CAN reduce")</f>
        <v/>
      </c>
    </row>
    <row r="15">
      <c r="A15" s="43" t="inlineStr">
        <is>
          <t>FeO</t>
        </is>
      </c>
      <c r="B15" s="44">
        <f>'Formation Energies'!P7</f>
        <v/>
      </c>
      <c r="C15" s="17">
        <f>'Formation Energies'!S7</f>
        <v/>
      </c>
      <c r="D15" s="45" t="inlineStr">
        <is>
          <t>−</t>
        </is>
      </c>
      <c r="E15" s="44">
        <f>'Formation Energies'!P7</f>
        <v/>
      </c>
      <c r="F15" s="45" t="inlineStr">
        <is>
          <t>=</t>
        </is>
      </c>
      <c r="G15" s="46">
        <f>C15-B15</f>
        <v/>
      </c>
      <c r="H15" s="47">
        <f>IF(G15&gt;0,"CANNOT reduce","CAN reduce")</f>
        <v/>
      </c>
    </row>
    <row r="16">
      <c r="A16" s="48" t="inlineStr">
        <is>
          <t>CuO</t>
        </is>
      </c>
      <c r="B16" s="28">
        <f>'Formation Energies'!T7</f>
        <v/>
      </c>
      <c r="C16" s="29">
        <f>'Formation Energies'!S7</f>
        <v/>
      </c>
      <c r="D16" s="49" t="inlineStr">
        <is>
          <t>−</t>
        </is>
      </c>
      <c r="E16" s="28">
        <f>'Formation Energies'!T7</f>
        <v/>
      </c>
      <c r="F16" s="49" t="inlineStr">
        <is>
          <t>=</t>
        </is>
      </c>
      <c r="G16" s="50">
        <f>C16-B16</f>
        <v/>
      </c>
      <c r="H16" s="51">
        <f>IF(G16&gt;0,"CANNOT reduce","CAN reduce")</f>
        <v/>
      </c>
    </row>
    <row r="19">
      <c r="A19" s="31" t="inlineStr">
        <is>
          <t>Temperature: 1227°C / 1500 K</t>
        </is>
      </c>
    </row>
    <row r="20">
      <c r="A20" s="32" t="inlineStr">
        <is>
          <t>Cu₂O reference ΔG_f:</t>
        </is>
      </c>
      <c r="D20" s="33">
        <f>'Formation Energies'!S9</f>
        <v/>
      </c>
      <c r="E20" s="34" t="inlineStr">
        <is>
          <t>kJ/mol O₂</t>
        </is>
      </c>
    </row>
    <row r="21">
      <c r="A21" s="3" t="inlineStr">
        <is>
          <t>Oxide</t>
        </is>
      </c>
      <c r="B21" s="4" t="inlineStr">
        <is>
          <t>ΔG_f(MOₓ)</t>
        </is>
      </c>
      <c r="C21" s="4" t="inlineStr">
        <is>
          <t>ΔG_f(Cu₂O)</t>
        </is>
      </c>
      <c r="D21" s="4" t="inlineStr"/>
      <c r="E21" s="4" t="inlineStr">
        <is>
          <t>ΔG_f(MOₓ)</t>
        </is>
      </c>
      <c r="F21" s="4" t="inlineStr"/>
      <c r="G21" s="4" t="inlineStr">
        <is>
          <t>ΔG_rxn</t>
        </is>
      </c>
      <c r="H21" s="6" t="inlineStr">
        <is>
          <t>Verdict</t>
        </is>
      </c>
    </row>
    <row r="22">
      <c r="A22" s="35" t="inlineStr">
        <is>
          <t>CaO</t>
        </is>
      </c>
      <c r="B22" s="10">
        <f>'Formation Energies'!D9</f>
        <v/>
      </c>
      <c r="C22" s="11">
        <f>'Formation Energies'!S9</f>
        <v/>
      </c>
      <c r="D22" s="36" t="inlineStr">
        <is>
          <t>−</t>
        </is>
      </c>
      <c r="E22" s="10">
        <f>'Formation Energies'!D9</f>
        <v/>
      </c>
      <c r="F22" s="36" t="inlineStr">
        <is>
          <t>=</t>
        </is>
      </c>
      <c r="G22" s="37">
        <f>C22-B22</f>
        <v/>
      </c>
      <c r="H22" s="38">
        <f>IF(G22&gt;0,"CANNOT reduce","CAN reduce")</f>
        <v/>
      </c>
    </row>
    <row r="23">
      <c r="A23" s="39" t="inlineStr">
        <is>
          <t>MgO</t>
        </is>
      </c>
      <c r="B23" s="16">
        <f>'Formation Energies'!F9</f>
        <v/>
      </c>
      <c r="C23" s="17">
        <f>'Formation Energies'!S9</f>
        <v/>
      </c>
      <c r="D23" s="40" t="inlineStr">
        <is>
          <t>−</t>
        </is>
      </c>
      <c r="E23" s="16">
        <f>'Formation Energies'!F9</f>
        <v/>
      </c>
      <c r="F23" s="40" t="inlineStr">
        <is>
          <t>=</t>
        </is>
      </c>
      <c r="G23" s="41">
        <f>C23-B23</f>
        <v/>
      </c>
      <c r="H23" s="42">
        <f>IF(G23&gt;0,"CANNOT reduce","CAN reduce")</f>
        <v/>
      </c>
    </row>
    <row r="24">
      <c r="A24" s="43" t="inlineStr">
        <is>
          <t>ZrO₂</t>
        </is>
      </c>
      <c r="B24" s="44">
        <f>'Formation Energies'!G9</f>
        <v/>
      </c>
      <c r="C24" s="17">
        <f>'Formation Energies'!S9</f>
        <v/>
      </c>
      <c r="D24" s="45" t="inlineStr">
        <is>
          <t>−</t>
        </is>
      </c>
      <c r="E24" s="44">
        <f>'Formation Energies'!G9</f>
        <v/>
      </c>
      <c r="F24" s="45" t="inlineStr">
        <is>
          <t>=</t>
        </is>
      </c>
      <c r="G24" s="46">
        <f>C24-B24</f>
        <v/>
      </c>
      <c r="H24" s="47">
        <f>IF(G24&gt;0,"CANNOT reduce","CAN reduce")</f>
        <v/>
      </c>
    </row>
    <row r="25">
      <c r="A25" s="39" t="inlineStr">
        <is>
          <t>Al₂O₃</t>
        </is>
      </c>
      <c r="B25" s="16">
        <f>'Formation Energies'!H9</f>
        <v/>
      </c>
      <c r="C25" s="17">
        <f>'Formation Energies'!S9</f>
        <v/>
      </c>
      <c r="D25" s="40" t="inlineStr">
        <is>
          <t>−</t>
        </is>
      </c>
      <c r="E25" s="16">
        <f>'Formation Energies'!H9</f>
        <v/>
      </c>
      <c r="F25" s="40" t="inlineStr">
        <is>
          <t>=</t>
        </is>
      </c>
      <c r="G25" s="41">
        <f>C25-B25</f>
        <v/>
      </c>
      <c r="H25" s="42">
        <f>IF(G25&gt;0,"CANNOT reduce","CAN reduce")</f>
        <v/>
      </c>
    </row>
    <row r="26">
      <c r="A26" s="43" t="inlineStr">
        <is>
          <t>TiO₂</t>
        </is>
      </c>
      <c r="B26" s="44">
        <f>'Formation Energies'!J9</f>
        <v/>
      </c>
      <c r="C26" s="17">
        <f>'Formation Energies'!S9</f>
        <v/>
      </c>
      <c r="D26" s="45" t="inlineStr">
        <is>
          <t>−</t>
        </is>
      </c>
      <c r="E26" s="44">
        <f>'Formation Energies'!J9</f>
        <v/>
      </c>
      <c r="F26" s="45" t="inlineStr">
        <is>
          <t>=</t>
        </is>
      </c>
      <c r="G26" s="46">
        <f>C26-B26</f>
        <v/>
      </c>
      <c r="H26" s="47">
        <f>IF(G26&gt;0,"CANNOT reduce","CAN reduce")</f>
        <v/>
      </c>
    </row>
    <row r="27">
      <c r="A27" s="39" t="inlineStr">
        <is>
          <t>SiO₂</t>
        </is>
      </c>
      <c r="B27" s="16">
        <f>'Formation Energies'!K9</f>
        <v/>
      </c>
      <c r="C27" s="17">
        <f>'Formation Energies'!S9</f>
        <v/>
      </c>
      <c r="D27" s="40" t="inlineStr">
        <is>
          <t>−</t>
        </is>
      </c>
      <c r="E27" s="16">
        <f>'Formation Energies'!K9</f>
        <v/>
      </c>
      <c r="F27" s="40" t="inlineStr">
        <is>
          <t>=</t>
        </is>
      </c>
      <c r="G27" s="41">
        <f>C27-B27</f>
        <v/>
      </c>
      <c r="H27" s="42">
        <f>IF(G27&gt;0,"CANNOT reduce","CAN reduce")</f>
        <v/>
      </c>
    </row>
    <row r="28">
      <c r="A28" s="43" t="inlineStr">
        <is>
          <t>MnO</t>
        </is>
      </c>
      <c r="B28" s="44">
        <f>'Formation Energies'!L9</f>
        <v/>
      </c>
      <c r="C28" s="17">
        <f>'Formation Energies'!S9</f>
        <v/>
      </c>
      <c r="D28" s="45" t="inlineStr">
        <is>
          <t>−</t>
        </is>
      </c>
      <c r="E28" s="44">
        <f>'Formation Energies'!L9</f>
        <v/>
      </c>
      <c r="F28" s="45" t="inlineStr">
        <is>
          <t>=</t>
        </is>
      </c>
      <c r="G28" s="46">
        <f>C28-B28</f>
        <v/>
      </c>
      <c r="H28" s="47">
        <f>IF(G28&gt;0,"CANNOT reduce","CAN reduce")</f>
        <v/>
      </c>
    </row>
    <row r="29">
      <c r="A29" s="39" t="inlineStr">
        <is>
          <t>Cr₂O₃</t>
        </is>
      </c>
      <c r="B29" s="16">
        <f>'Formation Energies'!N9</f>
        <v/>
      </c>
      <c r="C29" s="17">
        <f>'Formation Energies'!S9</f>
        <v/>
      </c>
      <c r="D29" s="40" t="inlineStr">
        <is>
          <t>−</t>
        </is>
      </c>
      <c r="E29" s="16">
        <f>'Formation Energies'!N9</f>
        <v/>
      </c>
      <c r="F29" s="40" t="inlineStr">
        <is>
          <t>=</t>
        </is>
      </c>
      <c r="G29" s="41">
        <f>C29-B29</f>
        <v/>
      </c>
      <c r="H29" s="42">
        <f>IF(G29&gt;0,"CANNOT reduce","CAN reduce")</f>
        <v/>
      </c>
    </row>
    <row r="30">
      <c r="A30" s="43" t="inlineStr">
        <is>
          <t>FeO</t>
        </is>
      </c>
      <c r="B30" s="44">
        <f>'Formation Energies'!P9</f>
        <v/>
      </c>
      <c r="C30" s="17">
        <f>'Formation Energies'!S9</f>
        <v/>
      </c>
      <c r="D30" s="45" t="inlineStr">
        <is>
          <t>−</t>
        </is>
      </c>
      <c r="E30" s="44">
        <f>'Formation Energies'!P9</f>
        <v/>
      </c>
      <c r="F30" s="45" t="inlineStr">
        <is>
          <t>=</t>
        </is>
      </c>
      <c r="G30" s="46">
        <f>C30-B30</f>
        <v/>
      </c>
      <c r="H30" s="47">
        <f>IF(G30&gt;0,"CANNOT reduce","CAN reduce")</f>
        <v/>
      </c>
    </row>
    <row r="31">
      <c r="A31" s="48" t="inlineStr">
        <is>
          <t>CuO</t>
        </is>
      </c>
      <c r="B31" s="28">
        <f>'Formation Energies'!T9</f>
        <v/>
      </c>
      <c r="C31" s="29">
        <f>'Formation Energies'!S9</f>
        <v/>
      </c>
      <c r="D31" s="49" t="inlineStr">
        <is>
          <t>−</t>
        </is>
      </c>
      <c r="E31" s="28">
        <f>'Formation Energies'!T9</f>
        <v/>
      </c>
      <c r="F31" s="49" t="inlineStr">
        <is>
          <t>=</t>
        </is>
      </c>
      <c r="G31" s="50">
        <f>C31-B31</f>
        <v/>
      </c>
      <c r="H31" s="51">
        <f>IF(G31&gt;0,"CANNOT reduce","CAN reduce")</f>
        <v/>
      </c>
    </row>
    <row r="34">
      <c r="A34" s="31" t="inlineStr">
        <is>
          <t>Temperature: 1527°C / 1800 K</t>
        </is>
      </c>
    </row>
    <row r="35">
      <c r="A35" s="32" t="inlineStr">
        <is>
          <t>Cu₂O reference ΔG_f:</t>
        </is>
      </c>
      <c r="D35" s="33">
        <f>'Formation Energies'!S11</f>
        <v/>
      </c>
      <c r="E35" s="34" t="inlineStr">
        <is>
          <t>kJ/mol O₂</t>
        </is>
      </c>
    </row>
    <row r="36">
      <c r="A36" s="3" t="inlineStr">
        <is>
          <t>Oxide</t>
        </is>
      </c>
      <c r="B36" s="4" t="inlineStr">
        <is>
          <t>ΔG_f(MOₓ)</t>
        </is>
      </c>
      <c r="C36" s="4" t="inlineStr">
        <is>
          <t>ΔG_f(Cu₂O)</t>
        </is>
      </c>
      <c r="D36" s="4" t="inlineStr"/>
      <c r="E36" s="4" t="inlineStr">
        <is>
          <t>ΔG_f(MOₓ)</t>
        </is>
      </c>
      <c r="F36" s="4" t="inlineStr"/>
      <c r="G36" s="4" t="inlineStr">
        <is>
          <t>ΔG_rxn</t>
        </is>
      </c>
      <c r="H36" s="6" t="inlineStr">
        <is>
          <t>Verdict</t>
        </is>
      </c>
    </row>
    <row r="37">
      <c r="A37" s="35" t="inlineStr">
        <is>
          <t>CaO</t>
        </is>
      </c>
      <c r="B37" s="10">
        <f>'Formation Energies'!D11</f>
        <v/>
      </c>
      <c r="C37" s="11">
        <f>'Formation Energies'!S11</f>
        <v/>
      </c>
      <c r="D37" s="36" t="inlineStr">
        <is>
          <t>−</t>
        </is>
      </c>
      <c r="E37" s="10">
        <f>'Formation Energies'!D11</f>
        <v/>
      </c>
      <c r="F37" s="36" t="inlineStr">
        <is>
          <t>=</t>
        </is>
      </c>
      <c r="G37" s="37">
        <f>C37-B37</f>
        <v/>
      </c>
      <c r="H37" s="38">
        <f>IF(G37&gt;0,"CANNOT reduce","CAN reduce")</f>
        <v/>
      </c>
    </row>
    <row r="38">
      <c r="A38" s="39" t="inlineStr">
        <is>
          <t>MgO</t>
        </is>
      </c>
      <c r="B38" s="16">
        <f>'Formation Energies'!F11</f>
        <v/>
      </c>
      <c r="C38" s="17">
        <f>'Formation Energies'!S11</f>
        <v/>
      </c>
      <c r="D38" s="40" t="inlineStr">
        <is>
          <t>−</t>
        </is>
      </c>
      <c r="E38" s="16">
        <f>'Formation Energies'!F11</f>
        <v/>
      </c>
      <c r="F38" s="40" t="inlineStr">
        <is>
          <t>=</t>
        </is>
      </c>
      <c r="G38" s="41">
        <f>C38-B38</f>
        <v/>
      </c>
      <c r="H38" s="42">
        <f>IF(G38&gt;0,"CANNOT reduce","CAN reduce")</f>
        <v/>
      </c>
    </row>
    <row r="39">
      <c r="A39" s="43" t="inlineStr">
        <is>
          <t>ZrO₂</t>
        </is>
      </c>
      <c r="B39" s="44">
        <f>'Formation Energies'!G11</f>
        <v/>
      </c>
      <c r="C39" s="17">
        <f>'Formation Energies'!S11</f>
        <v/>
      </c>
      <c r="D39" s="45" t="inlineStr">
        <is>
          <t>−</t>
        </is>
      </c>
      <c r="E39" s="44">
        <f>'Formation Energies'!G11</f>
        <v/>
      </c>
      <c r="F39" s="45" t="inlineStr">
        <is>
          <t>=</t>
        </is>
      </c>
      <c r="G39" s="46">
        <f>C39-B39</f>
        <v/>
      </c>
      <c r="H39" s="47">
        <f>IF(G39&gt;0,"CANNOT reduce","CAN reduce")</f>
        <v/>
      </c>
    </row>
    <row r="40">
      <c r="A40" s="39" t="inlineStr">
        <is>
          <t>Al₂O₃</t>
        </is>
      </c>
      <c r="B40" s="16">
        <f>'Formation Energies'!H11</f>
        <v/>
      </c>
      <c r="C40" s="17">
        <f>'Formation Energies'!S11</f>
        <v/>
      </c>
      <c r="D40" s="40" t="inlineStr">
        <is>
          <t>−</t>
        </is>
      </c>
      <c r="E40" s="16">
        <f>'Formation Energies'!H11</f>
        <v/>
      </c>
      <c r="F40" s="40" t="inlineStr">
        <is>
          <t>=</t>
        </is>
      </c>
      <c r="G40" s="41">
        <f>C40-B40</f>
        <v/>
      </c>
      <c r="H40" s="42">
        <f>IF(G40&gt;0,"CANNOT reduce","CAN reduce")</f>
        <v/>
      </c>
    </row>
    <row r="41">
      <c r="A41" s="43" t="inlineStr">
        <is>
          <t>TiO₂</t>
        </is>
      </c>
      <c r="B41" s="44">
        <f>'Formation Energies'!J11</f>
        <v/>
      </c>
      <c r="C41" s="17">
        <f>'Formation Energies'!S11</f>
        <v/>
      </c>
      <c r="D41" s="45" t="inlineStr">
        <is>
          <t>−</t>
        </is>
      </c>
      <c r="E41" s="44">
        <f>'Formation Energies'!J11</f>
        <v/>
      </c>
      <c r="F41" s="45" t="inlineStr">
        <is>
          <t>=</t>
        </is>
      </c>
      <c r="G41" s="46">
        <f>C41-B41</f>
        <v/>
      </c>
      <c r="H41" s="47">
        <f>IF(G41&gt;0,"CANNOT reduce","CAN reduce")</f>
        <v/>
      </c>
    </row>
    <row r="42">
      <c r="A42" s="39" t="inlineStr">
        <is>
          <t>SiO₂</t>
        </is>
      </c>
      <c r="B42" s="16">
        <f>'Formation Energies'!K11</f>
        <v/>
      </c>
      <c r="C42" s="17">
        <f>'Formation Energies'!S11</f>
        <v/>
      </c>
      <c r="D42" s="40" t="inlineStr">
        <is>
          <t>−</t>
        </is>
      </c>
      <c r="E42" s="16">
        <f>'Formation Energies'!K11</f>
        <v/>
      </c>
      <c r="F42" s="40" t="inlineStr">
        <is>
          <t>=</t>
        </is>
      </c>
      <c r="G42" s="41">
        <f>C42-B42</f>
        <v/>
      </c>
      <c r="H42" s="42">
        <f>IF(G42&gt;0,"CANNOT reduce","CAN reduce")</f>
        <v/>
      </c>
    </row>
    <row r="43">
      <c r="A43" s="43" t="inlineStr">
        <is>
          <t>MnO</t>
        </is>
      </c>
      <c r="B43" s="44">
        <f>'Formation Energies'!L11</f>
        <v/>
      </c>
      <c r="C43" s="17">
        <f>'Formation Energies'!S11</f>
        <v/>
      </c>
      <c r="D43" s="45" t="inlineStr">
        <is>
          <t>−</t>
        </is>
      </c>
      <c r="E43" s="44">
        <f>'Formation Energies'!L11</f>
        <v/>
      </c>
      <c r="F43" s="45" t="inlineStr">
        <is>
          <t>=</t>
        </is>
      </c>
      <c r="G43" s="46">
        <f>C43-B43</f>
        <v/>
      </c>
      <c r="H43" s="47">
        <f>IF(G43&gt;0,"CANNOT reduce","CAN reduce")</f>
        <v/>
      </c>
    </row>
    <row r="44">
      <c r="A44" s="39" t="inlineStr">
        <is>
          <t>Cr₂O₃</t>
        </is>
      </c>
      <c r="B44" s="16">
        <f>'Formation Energies'!N11</f>
        <v/>
      </c>
      <c r="C44" s="17">
        <f>'Formation Energies'!S11</f>
        <v/>
      </c>
      <c r="D44" s="40" t="inlineStr">
        <is>
          <t>−</t>
        </is>
      </c>
      <c r="E44" s="16">
        <f>'Formation Energies'!N11</f>
        <v/>
      </c>
      <c r="F44" s="40" t="inlineStr">
        <is>
          <t>=</t>
        </is>
      </c>
      <c r="G44" s="41">
        <f>C44-B44</f>
        <v/>
      </c>
      <c r="H44" s="42">
        <f>IF(G44&gt;0,"CANNOT reduce","CAN reduce")</f>
        <v/>
      </c>
    </row>
    <row r="45">
      <c r="A45" s="43" t="inlineStr">
        <is>
          <t>FeO</t>
        </is>
      </c>
      <c r="B45" s="44">
        <f>'Formation Energies'!P11</f>
        <v/>
      </c>
      <c r="C45" s="17">
        <f>'Formation Energies'!S11</f>
        <v/>
      </c>
      <c r="D45" s="45" t="inlineStr">
        <is>
          <t>−</t>
        </is>
      </c>
      <c r="E45" s="44">
        <f>'Formation Energies'!P11</f>
        <v/>
      </c>
      <c r="F45" s="45" t="inlineStr">
        <is>
          <t>=</t>
        </is>
      </c>
      <c r="G45" s="46">
        <f>C45-B45</f>
        <v/>
      </c>
      <c r="H45" s="47">
        <f>IF(G45&gt;0,"CANNOT reduce","CAN reduce")</f>
        <v/>
      </c>
    </row>
    <row r="46">
      <c r="A46" s="48" t="inlineStr">
        <is>
          <t>CuO</t>
        </is>
      </c>
      <c r="B46" s="28">
        <f>'Formation Energies'!T11</f>
        <v/>
      </c>
      <c r="C46" s="29">
        <f>'Formation Energies'!S11</f>
        <v/>
      </c>
      <c r="D46" s="49" t="inlineStr">
        <is>
          <t>−</t>
        </is>
      </c>
      <c r="E46" s="28">
        <f>'Formation Energies'!T11</f>
        <v/>
      </c>
      <c r="F46" s="49" t="inlineStr">
        <is>
          <t>=</t>
        </is>
      </c>
      <c r="G46" s="50">
        <f>C46-B46</f>
        <v/>
      </c>
      <c r="H46" s="51">
        <f>IF(G46&gt;0,"CANNOT reduce","CAN reduce")</f>
        <v/>
      </c>
    </row>
  </sheetData>
  <mergeCells count="8">
    <mergeCell ref="A4:H4"/>
    <mergeCell ref="A5:C5"/>
    <mergeCell ref="A2:H2"/>
    <mergeCell ref="A19:H19"/>
    <mergeCell ref="A1:H1"/>
    <mergeCell ref="A35:C35"/>
    <mergeCell ref="A20:C20"/>
    <mergeCell ref="A34:H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12" customWidth="1" min="3" max="3"/>
    <col width="30" customWidth="1" min="4" max="4"/>
    <col width="28" customWidth="1" min="5" max="5"/>
    <col width="38" customWidth="1" min="6" max="6"/>
  </cols>
  <sheetData>
    <row r="1">
      <c r="A1" s="1" t="inlineStr">
        <is>
          <t>How Normalization Works: GM → Per Formula → Per Mol O₂</t>
        </is>
      </c>
    </row>
    <row r="2">
      <c r="A2" s="2" t="inlineStr">
        <is>
          <t>Thermo-Calc reports GM as Gibbs energy per mole of ATOMS. We must convert to per formula unit, then normalize to per mol O₂.</t>
        </is>
      </c>
    </row>
    <row r="4">
      <c r="A4" s="52" t="inlineStr">
        <is>
          <t>Worked Example: Cu₂O at 1000 K (726.85°C)</t>
        </is>
      </c>
    </row>
    <row r="5">
      <c r="A5" s="32" t="inlineStr">
        <is>
          <t>Balanced reaction per mol O₂:</t>
        </is>
      </c>
      <c r="C5" s="34" t="inlineStr">
        <is>
          <t>4 Cu + O₂ → 2 Cu₂O</t>
        </is>
      </c>
    </row>
    <row r="6">
      <c r="A6" s="34" t="inlineStr">
        <is>
          <t>Step 1: GM from Thermo-Calc (per mol atoms)</t>
        </is>
      </c>
      <c r="D6" s="53" t="inlineStr">
        <is>
          <t>-99488.94 J/mol-atoms</t>
        </is>
      </c>
    </row>
    <row r="7">
      <c r="A7" s="34" t="inlineStr">
        <is>
          <t>Step 2: × 3 atoms = G per formula unit</t>
        </is>
      </c>
      <c r="D7" s="53" t="inlineStr">
        <is>
          <t>-298466.83 J/mol</t>
        </is>
      </c>
    </row>
    <row r="8">
      <c r="A8" s="34" t="inlineStr">
        <is>
          <t>Step 3: G(metal) from Thermo-Calc</t>
        </is>
      </c>
      <c r="D8" s="53" t="inlineStr">
        <is>
          <t>-46338.66 J/mol-atoms</t>
        </is>
      </c>
    </row>
    <row r="9">
      <c r="A9" s="34" t="inlineStr">
        <is>
          <t>Step 4: ΔG_f per mol O₂ (from TC-Python)</t>
        </is>
      </c>
      <c r="D9" s="53" t="inlineStr">
        <is>
          <t>-190812.97 J/mol O₂</t>
        </is>
      </c>
    </row>
    <row r="10">
      <c r="A10" s="34" t="inlineStr">
        <is>
          <t>Step 4 (in kJ):</t>
        </is>
      </c>
      <c r="D10" s="53" t="inlineStr">
        <is>
          <t>-190.8 kJ/mol O₂</t>
        </is>
      </c>
    </row>
    <row r="12">
      <c r="A12" s="52" t="inlineStr">
        <is>
          <t>Worked Example: Al₂O₃ at 1000 K (726.85°C)</t>
        </is>
      </c>
    </row>
    <row r="13">
      <c r="A13" s="32" t="inlineStr">
        <is>
          <t>Balanced reaction per mol O₂:</t>
        </is>
      </c>
      <c r="C13" s="34" t="inlineStr">
        <is>
          <t>4/3 Al + O₂ → 2/3 Al₂O₃</t>
        </is>
      </c>
    </row>
    <row r="14">
      <c r="A14" s="34" t="inlineStr">
        <is>
          <t>Step 1: GM from Thermo-Calc (per mol atoms)</t>
        </is>
      </c>
      <c r="D14" s="53" t="inlineStr">
        <is>
          <t>-355587.55 J/mol-atoms</t>
        </is>
      </c>
    </row>
    <row r="15">
      <c r="A15" s="34" t="inlineStr">
        <is>
          <t>Step 2: × 5 atoms = G per formula unit</t>
        </is>
      </c>
      <c r="D15" s="53" t="inlineStr">
        <is>
          <t>-1777937.73 J/mol</t>
        </is>
      </c>
    </row>
    <row r="16">
      <c r="A16" s="34" t="inlineStr">
        <is>
          <t>Step 3: G(metal) from Thermo-Calc</t>
        </is>
      </c>
      <c r="D16" s="53" t="inlineStr">
        <is>
          <t>-42746.62 J/mol-atoms</t>
        </is>
      </c>
    </row>
    <row r="17">
      <c r="A17" s="34" t="inlineStr">
        <is>
          <t>Step 4: ΔG_f per mol O₂ (from TC-Python)</t>
        </is>
      </c>
      <c r="D17" s="53" t="inlineStr">
        <is>
          <t>-907530.28 J/mol O₂</t>
        </is>
      </c>
    </row>
    <row r="18">
      <c r="A18" s="34" t="inlineStr">
        <is>
          <t>Step 4 (in kJ):</t>
        </is>
      </c>
      <c r="D18" s="53" t="inlineStr">
        <is>
          <t>-907.5 kJ/mol O₂</t>
        </is>
      </c>
    </row>
    <row r="20">
      <c r="A20" s="52" t="inlineStr">
        <is>
          <t>Worked Example: MgO at 1000 K (726.85°C)</t>
        </is>
      </c>
    </row>
    <row r="21">
      <c r="A21" s="32" t="inlineStr">
        <is>
          <t>Balanced reaction per mol O₂:</t>
        </is>
      </c>
      <c r="C21" s="34" t="inlineStr">
        <is>
          <t>2 Mg + O₂ → 2 MgO</t>
        </is>
      </c>
    </row>
    <row r="22">
      <c r="A22" s="34" t="inlineStr">
        <is>
          <t>Step 1: GM from Thermo-Calc (per mol atoms)</t>
        </is>
      </c>
      <c r="D22" s="53" t="inlineStr">
        <is>
          <t>-325465.87 J/mol-atoms</t>
        </is>
      </c>
    </row>
    <row r="23">
      <c r="A23" s="34" t="inlineStr">
        <is>
          <t>Step 2: × 2 atoms = G per formula unit</t>
        </is>
      </c>
      <c r="D23" s="53" t="inlineStr">
        <is>
          <t>-650931.75 J/mol</t>
        </is>
      </c>
    </row>
    <row r="24">
      <c r="A24" s="34" t="inlineStr">
        <is>
          <t>Step 3: G(metal) from Thermo-Calc</t>
        </is>
      </c>
      <c r="D24" s="53" t="inlineStr">
        <is>
          <t>-47165.93 J/mol-atoms</t>
        </is>
      </c>
    </row>
    <row r="25">
      <c r="A25" s="34" t="inlineStr">
        <is>
          <t>Step 4: ΔG_f per mol O₂ (from TC-Python)</t>
        </is>
      </c>
      <c r="D25" s="53" t="inlineStr">
        <is>
          <t>-986765.59 J/mol O₂</t>
        </is>
      </c>
    </row>
    <row r="26">
      <c r="A26" s="34" t="inlineStr">
        <is>
          <t>Step 4 (in kJ):</t>
        </is>
      </c>
      <c r="D26" s="53" t="inlineStr">
        <is>
          <t>-986.8 kJ/mol O₂</t>
        </is>
      </c>
    </row>
    <row r="29">
      <c r="A29" s="54" t="inlineStr">
        <is>
          <t>Summary: Normalization Parameters for All Oxides</t>
        </is>
      </c>
    </row>
    <row r="30">
      <c r="A30" s="55" t="inlineStr">
        <is>
          <t>Formula</t>
        </is>
      </c>
      <c r="B30" s="56" t="inlineStr">
        <is>
          <t>Atoms per Formula</t>
        </is>
      </c>
      <c r="C30" s="56" t="inlineStr">
        <is>
          <t>O atoms</t>
        </is>
      </c>
      <c r="D30" s="56" t="inlineStr">
        <is>
          <t>Metal Coeff (per mol O₂)</t>
        </is>
      </c>
      <c r="E30" s="56" t="inlineStr">
        <is>
          <t>Oxide Coeff (per mol O₂)</t>
        </is>
      </c>
      <c r="F30" s="57" t="inlineStr">
        <is>
          <t>Balanced Reaction per mol O₂</t>
        </is>
      </c>
    </row>
    <row r="31">
      <c r="A31" s="58" t="inlineStr">
        <is>
          <t>Cu₂O</t>
        </is>
      </c>
      <c r="B31" s="9" t="n">
        <v>3</v>
      </c>
      <c r="C31" s="9" t="n">
        <v>1</v>
      </c>
      <c r="D31" s="9" t="inlineStr">
        <is>
          <t>4</t>
        </is>
      </c>
      <c r="E31" s="9" t="inlineStr">
        <is>
          <t>2</t>
        </is>
      </c>
      <c r="F31" s="59" t="inlineStr">
        <is>
          <t>4 Cu + O₂ → 2 Cu₂O</t>
        </is>
      </c>
    </row>
    <row r="32">
      <c r="A32" s="60" t="inlineStr">
        <is>
          <t>CuO</t>
        </is>
      </c>
      <c r="B32" s="15" t="n">
        <v>2</v>
      </c>
      <c r="C32" s="15" t="n">
        <v>1</v>
      </c>
      <c r="D32" s="15" t="inlineStr">
        <is>
          <t>2</t>
        </is>
      </c>
      <c r="E32" s="15" t="inlineStr">
        <is>
          <t>2</t>
        </is>
      </c>
      <c r="F32" s="61" t="inlineStr">
        <is>
          <t>2 Cu + O₂ → 2 CuO</t>
        </is>
      </c>
    </row>
    <row r="33">
      <c r="A33" s="19" t="inlineStr">
        <is>
          <t>Al₂O₃</t>
        </is>
      </c>
      <c r="B33" s="21" t="n">
        <v>5</v>
      </c>
      <c r="C33" s="21" t="n">
        <v>3</v>
      </c>
      <c r="D33" s="21" t="inlineStr">
        <is>
          <t>4/3</t>
        </is>
      </c>
      <c r="E33" s="21" t="inlineStr">
        <is>
          <t>2/3</t>
        </is>
      </c>
      <c r="F33" s="62" t="inlineStr">
        <is>
          <t>4/3 Al + O₂ → 2/3 Al₂O₃</t>
        </is>
      </c>
    </row>
    <row r="34">
      <c r="A34" s="60" t="inlineStr">
        <is>
          <t>MgO</t>
        </is>
      </c>
      <c r="B34" s="15" t="n">
        <v>2</v>
      </c>
      <c r="C34" s="15" t="n">
        <v>1</v>
      </c>
      <c r="D34" s="15" t="inlineStr">
        <is>
          <t>2</t>
        </is>
      </c>
      <c r="E34" s="15" t="inlineStr">
        <is>
          <t>2</t>
        </is>
      </c>
      <c r="F34" s="61" t="inlineStr">
        <is>
          <t>2 Mg + O₂ → 2 MgO</t>
        </is>
      </c>
    </row>
    <row r="35">
      <c r="A35" s="19" t="inlineStr">
        <is>
          <t>SiO₂</t>
        </is>
      </c>
      <c r="B35" s="21" t="n">
        <v>3</v>
      </c>
      <c r="C35" s="21" t="n">
        <v>2</v>
      </c>
      <c r="D35" s="21" t="inlineStr">
        <is>
          <t>1</t>
        </is>
      </c>
      <c r="E35" s="21" t="inlineStr">
        <is>
          <t>1</t>
        </is>
      </c>
      <c r="F35" s="62" t="inlineStr">
        <is>
          <t>Si + O₂ → SiO₂</t>
        </is>
      </c>
    </row>
    <row r="36">
      <c r="A36" s="60" t="inlineStr">
        <is>
          <t>TiO₂</t>
        </is>
      </c>
      <c r="B36" s="15" t="n">
        <v>3</v>
      </c>
      <c r="C36" s="15" t="n">
        <v>2</v>
      </c>
      <c r="D36" s="15" t="inlineStr">
        <is>
          <t>1</t>
        </is>
      </c>
      <c r="E36" s="15" t="inlineStr">
        <is>
          <t>1</t>
        </is>
      </c>
      <c r="F36" s="61" t="inlineStr">
        <is>
          <t>Ti + O₂ → TiO₂</t>
        </is>
      </c>
    </row>
    <row r="37">
      <c r="A37" s="19" t="inlineStr">
        <is>
          <t>FeO</t>
        </is>
      </c>
      <c r="B37" s="21" t="n">
        <v>2</v>
      </c>
      <c r="C37" s="21" t="n">
        <v>1</v>
      </c>
      <c r="D37" s="21" t="inlineStr">
        <is>
          <t>2</t>
        </is>
      </c>
      <c r="E37" s="21" t="inlineStr">
        <is>
          <t>2</t>
        </is>
      </c>
      <c r="F37" s="62" t="inlineStr">
        <is>
          <t>2 Fe + O₂ → 2 FeO</t>
        </is>
      </c>
    </row>
    <row r="38">
      <c r="A38" s="60" t="inlineStr">
        <is>
          <t>CaO</t>
        </is>
      </c>
      <c r="B38" s="15" t="n">
        <v>2</v>
      </c>
      <c r="C38" s="15" t="n">
        <v>1</v>
      </c>
      <c r="D38" s="15" t="inlineStr">
        <is>
          <t>2</t>
        </is>
      </c>
      <c r="E38" s="15" t="inlineStr">
        <is>
          <t>2</t>
        </is>
      </c>
      <c r="F38" s="61" t="inlineStr">
        <is>
          <t>2 Ca + O₂ → 2 CaO</t>
        </is>
      </c>
    </row>
    <row r="39">
      <c r="A39" s="19" t="inlineStr">
        <is>
          <t>ZrO₂</t>
        </is>
      </c>
      <c r="B39" s="21" t="n">
        <v>3</v>
      </c>
      <c r="C39" s="21" t="n">
        <v>2</v>
      </c>
      <c r="D39" s="21" t="inlineStr">
        <is>
          <t>1</t>
        </is>
      </c>
      <c r="E39" s="21" t="inlineStr">
        <is>
          <t>1</t>
        </is>
      </c>
      <c r="F39" s="62" t="inlineStr">
        <is>
          <t>Zr + O₂ → ZrO₂</t>
        </is>
      </c>
    </row>
    <row r="40">
      <c r="A40" s="60" t="inlineStr">
        <is>
          <t>Cr₂O₃</t>
        </is>
      </c>
      <c r="B40" s="15" t="n">
        <v>5</v>
      </c>
      <c r="C40" s="15" t="n">
        <v>3</v>
      </c>
      <c r="D40" s="15" t="inlineStr">
        <is>
          <t>4/3</t>
        </is>
      </c>
      <c r="E40" s="15" t="inlineStr">
        <is>
          <t>2/3</t>
        </is>
      </c>
      <c r="F40" s="61" t="inlineStr">
        <is>
          <t>4/3 Cr + O₂ → 2/3 Cr₂O₃</t>
        </is>
      </c>
    </row>
    <row r="41">
      <c r="A41" s="63" t="inlineStr">
        <is>
          <t>MnO</t>
        </is>
      </c>
      <c r="B41" s="64" t="n">
        <v>2</v>
      </c>
      <c r="C41" s="64" t="n">
        <v>1</v>
      </c>
      <c r="D41" s="64" t="inlineStr">
        <is>
          <t>2</t>
        </is>
      </c>
      <c r="E41" s="64" t="inlineStr">
        <is>
          <t>2</t>
        </is>
      </c>
      <c r="F41" s="65" t="inlineStr">
        <is>
          <t>2 Mn + O₂ → 2 MnO</t>
        </is>
      </c>
    </row>
  </sheetData>
  <mergeCells count="5">
    <mergeCell ref="A2:F2"/>
    <mergeCell ref="A1:F1"/>
    <mergeCell ref="A12:F12"/>
    <mergeCell ref="A4:F4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4" customWidth="1" min="7" max="7"/>
    <col width="14" customWidth="1" min="8" max="8"/>
    <col width="14" customWidth="1" min="9" max="9"/>
    <col width="12" customWidth="1" min="10" max="10"/>
    <col width="28" customWidth="1" min="11" max="11"/>
    <col width="28" customWidth="1" min="12" max="12"/>
    <col width="52" customWidth="1" min="13" max="13"/>
  </cols>
  <sheetData>
    <row r="1">
      <c r="A1" s="1" t="inlineStr">
        <is>
          <t>Oxide Screening Table — Honda CALPHAD Cu Removal</t>
        </is>
      </c>
    </row>
    <row r="2">
      <c r="A2" s="2" t="inlineStr">
        <is>
          <t>Reaction ΔG values reference Sheet 2. Positive ΔG = Cu CANNOT reduce the oxide (oxide is stable).</t>
        </is>
      </c>
    </row>
    <row r="4">
      <c r="A4" s="55" t="inlineStr">
        <is>
          <t>Oxide</t>
        </is>
      </c>
      <c r="B4" s="56" t="inlineStr">
        <is>
          <t>Formula</t>
        </is>
      </c>
      <c r="C4" s="56" t="inlineStr">
        <is>
          <t>Density
(g/cm³)</t>
        </is>
      </c>
      <c r="D4" s="56" t="inlineStr">
        <is>
          <t>Melting Pt
(°C)</t>
        </is>
      </c>
      <c r="E4" s="56" t="inlineStr">
        <is>
          <t>Floats on
Steel?</t>
        </is>
      </c>
      <c r="F4" s="56" t="inlineStr">
        <is>
          <t>Solid at
1527°C?</t>
        </is>
      </c>
      <c r="G4" s="56" t="inlineStr">
        <is>
          <t>ΔG_rxn @
727°C</t>
        </is>
      </c>
      <c r="H4" s="56" t="inlineStr">
        <is>
          <t>ΔG_rxn @
1227°C</t>
        </is>
      </c>
      <c r="I4" s="56" t="inlineStr">
        <is>
          <t>ΔG_rxn @
1527°C</t>
        </is>
      </c>
      <c r="J4" s="56" t="inlineStr">
        <is>
          <t>Cu Can
Reduce?</t>
        </is>
      </c>
      <c r="K4" s="56" t="inlineStr">
        <is>
          <t>Toxicity</t>
        </is>
      </c>
      <c r="L4" s="56" t="inlineStr">
        <is>
          <t>Cost /
Availability</t>
        </is>
      </c>
      <c r="M4" s="57" t="inlineStr">
        <is>
          <t>Notes</t>
        </is>
      </c>
    </row>
    <row r="5">
      <c r="A5" s="66" t="inlineStr">
        <is>
          <t>CaO</t>
        </is>
      </c>
      <c r="B5" s="9" t="inlineStr">
        <is>
          <t>CaO</t>
        </is>
      </c>
      <c r="C5" s="67" t="n">
        <v>3.34</v>
      </c>
      <c r="D5" s="9" t="n">
        <v>2613</v>
      </c>
      <c r="E5" s="9" t="inlineStr">
        <is>
          <t>Yes</t>
        </is>
      </c>
      <c r="F5" s="9" t="inlineStr">
        <is>
          <t>Yes</t>
        </is>
      </c>
      <c r="G5" s="68">
        <f>'Reaction ΔG (Arithmetic)'!G7</f>
        <v/>
      </c>
      <c r="H5" s="68">
        <f>'Reaction ΔG (Arithmetic)'!G22</f>
        <v/>
      </c>
      <c r="I5" s="68">
        <f>'Reaction ΔG (Arithmetic)'!G37</f>
        <v/>
      </c>
      <c r="J5" s="69" t="inlineStr">
        <is>
          <t>No</t>
        </is>
      </c>
      <c r="K5" s="70" t="inlineStr">
        <is>
          <t>Low</t>
        </is>
      </c>
      <c r="L5" s="70" t="inlineStr">
        <is>
          <t>Very low — lime/steelmaking flux</t>
        </is>
      </c>
      <c r="M5" s="71" t="inlineStr">
        <is>
          <t>Steelmaking flux, cheap and abundant</t>
        </is>
      </c>
    </row>
    <row r="6">
      <c r="A6" s="72" t="inlineStr">
        <is>
          <t>MgO</t>
        </is>
      </c>
      <c r="B6" s="15" t="inlineStr">
        <is>
          <t>MgO</t>
        </is>
      </c>
      <c r="C6" s="73" t="n">
        <v>3.58</v>
      </c>
      <c r="D6" s="15" t="n">
        <v>2852</v>
      </c>
      <c r="E6" s="15" t="inlineStr">
        <is>
          <t>Yes</t>
        </is>
      </c>
      <c r="F6" s="15" t="inlineStr">
        <is>
          <t>Yes</t>
        </is>
      </c>
      <c r="G6" s="74">
        <f>'Reaction ΔG (Arithmetic)'!G8</f>
        <v/>
      </c>
      <c r="H6" s="74">
        <f>'Reaction ΔG (Arithmetic)'!G23</f>
        <v/>
      </c>
      <c r="I6" s="74">
        <f>'Reaction ΔG (Arithmetic)'!G38</f>
        <v/>
      </c>
      <c r="J6" s="75" t="inlineStr">
        <is>
          <t>No</t>
        </is>
      </c>
      <c r="K6" s="76" t="inlineStr">
        <is>
          <t>Low</t>
        </is>
      </c>
      <c r="L6" s="76" t="inlineStr">
        <is>
          <t>Low — common refractory</t>
        </is>
      </c>
      <c r="M6" s="77" t="inlineStr">
        <is>
          <t>Common refractory, tested Year 2</t>
        </is>
      </c>
    </row>
    <row r="7">
      <c r="A7" s="78" t="inlineStr">
        <is>
          <t>ZrO₂</t>
        </is>
      </c>
      <c r="B7" s="21" t="inlineStr">
        <is>
          <t>ZrO2</t>
        </is>
      </c>
      <c r="C7" s="79" t="n">
        <v>5.68</v>
      </c>
      <c r="D7" s="21" t="n">
        <v>2715</v>
      </c>
      <c r="E7" s="21" t="inlineStr">
        <is>
          <t>Yes</t>
        </is>
      </c>
      <c r="F7" s="21" t="inlineStr">
        <is>
          <t>Yes</t>
        </is>
      </c>
      <c r="G7" s="80">
        <f>'Reaction ΔG (Arithmetic)'!G9</f>
        <v/>
      </c>
      <c r="H7" s="80">
        <f>'Reaction ΔG (Arithmetic)'!G24</f>
        <v/>
      </c>
      <c r="I7" s="80">
        <f>'Reaction ΔG (Arithmetic)'!G39</f>
        <v/>
      </c>
      <c r="J7" s="81" t="inlineStr">
        <is>
          <t>No</t>
        </is>
      </c>
      <c r="K7" s="82" t="inlineStr">
        <is>
          <t>Low</t>
        </is>
      </c>
      <c r="L7" s="82" t="inlineStr">
        <is>
          <t>Moderate — refractory ceramic</t>
        </is>
      </c>
      <c r="M7" s="83" t="inlineStr">
        <is>
          <t>Refractory, very stable</t>
        </is>
      </c>
    </row>
    <row r="8">
      <c r="A8" s="72" t="inlineStr">
        <is>
          <t>Al₂O₃</t>
        </is>
      </c>
      <c r="B8" s="15" t="inlineStr">
        <is>
          <t>Al2O3</t>
        </is>
      </c>
      <c r="C8" s="73" t="n">
        <v>3.95</v>
      </c>
      <c r="D8" s="15" t="n">
        <v>2072</v>
      </c>
      <c r="E8" s="15" t="inlineStr">
        <is>
          <t>Yes</t>
        </is>
      </c>
      <c r="F8" s="15" t="inlineStr">
        <is>
          <t>Yes</t>
        </is>
      </c>
      <c r="G8" s="74">
        <f>'Reaction ΔG (Arithmetic)'!G10</f>
        <v/>
      </c>
      <c r="H8" s="74">
        <f>'Reaction ΔG (Arithmetic)'!G25</f>
        <v/>
      </c>
      <c r="I8" s="74">
        <f>'Reaction ΔG (Arithmetic)'!G40</f>
        <v/>
      </c>
      <c r="J8" s="75" t="inlineStr">
        <is>
          <t>No</t>
        </is>
      </c>
      <c r="K8" s="76" t="inlineStr">
        <is>
          <t>Low</t>
        </is>
      </c>
      <c r="L8" s="76" t="inlineStr">
        <is>
          <t>Low — common ceramic</t>
        </is>
      </c>
      <c r="M8" s="77" t="inlineStr">
        <is>
          <t>Tested Year 2 — partial Cu removal observed, mechanism unclear</t>
        </is>
      </c>
    </row>
    <row r="9">
      <c r="A9" s="78" t="inlineStr">
        <is>
          <t>TiO₂</t>
        </is>
      </c>
      <c r="B9" s="21" t="inlineStr">
        <is>
          <t>TiO2</t>
        </is>
      </c>
      <c r="C9" s="79" t="n">
        <v>4.23</v>
      </c>
      <c r="D9" s="21" t="n">
        <v>1843</v>
      </c>
      <c r="E9" s="21" t="inlineStr">
        <is>
          <t>Yes</t>
        </is>
      </c>
      <c r="F9" s="21" t="inlineStr">
        <is>
          <t>Yes</t>
        </is>
      </c>
      <c r="G9" s="80">
        <f>'Reaction ΔG (Arithmetic)'!G11</f>
        <v/>
      </c>
      <c r="H9" s="80">
        <f>'Reaction ΔG (Arithmetic)'!G26</f>
        <v/>
      </c>
      <c r="I9" s="80">
        <f>'Reaction ΔG (Arithmetic)'!G41</f>
        <v/>
      </c>
      <c r="J9" s="81" t="inlineStr">
        <is>
          <t>No</t>
        </is>
      </c>
      <c r="K9" s="82" t="inlineStr">
        <is>
          <t>Low</t>
        </is>
      </c>
      <c r="L9" s="82" t="inlineStr">
        <is>
          <t>Moderate</t>
        </is>
      </c>
      <c r="M9" s="83" t="inlineStr">
        <is>
          <t>Moderate stability</t>
        </is>
      </c>
    </row>
    <row r="10">
      <c r="A10" s="72" t="inlineStr">
        <is>
          <t>SiO₂</t>
        </is>
      </c>
      <c r="B10" s="15" t="inlineStr">
        <is>
          <t>SiO2</t>
        </is>
      </c>
      <c r="C10" s="73" t="n">
        <v>2.65</v>
      </c>
      <c r="D10" s="15" t="n">
        <v>1713</v>
      </c>
      <c r="E10" s="15" t="inlineStr">
        <is>
          <t>Yes</t>
        </is>
      </c>
      <c r="F10" s="15" t="inlineStr">
        <is>
          <t>Yes</t>
        </is>
      </c>
      <c r="G10" s="74">
        <f>'Reaction ΔG (Arithmetic)'!G12</f>
        <v/>
      </c>
      <c r="H10" s="74">
        <f>'Reaction ΔG (Arithmetic)'!G27</f>
        <v/>
      </c>
      <c r="I10" s="74">
        <f>'Reaction ΔG (Arithmetic)'!G42</f>
        <v/>
      </c>
      <c r="J10" s="75" t="inlineStr">
        <is>
          <t>No</t>
        </is>
      </c>
      <c r="K10" s="76" t="inlineStr">
        <is>
          <t>Low (crystalline = inhalation hazard)</t>
        </is>
      </c>
      <c r="L10" s="76" t="inlineStr">
        <is>
          <t>Very low — sand</t>
        </is>
      </c>
      <c r="M10" s="77" t="inlineStr">
        <is>
          <t>Cheapest candidate (sand)</t>
        </is>
      </c>
    </row>
    <row r="11">
      <c r="A11" s="78" t="inlineStr">
        <is>
          <t>MnO</t>
        </is>
      </c>
      <c r="B11" s="21" t="inlineStr">
        <is>
          <t>MnO</t>
        </is>
      </c>
      <c r="C11" s="79" t="n">
        <v>5.43</v>
      </c>
      <c r="D11" s="21" t="n">
        <v>1842</v>
      </c>
      <c r="E11" s="21" t="inlineStr">
        <is>
          <t>Yes</t>
        </is>
      </c>
      <c r="F11" s="21" t="inlineStr">
        <is>
          <t>Yes</t>
        </is>
      </c>
      <c r="G11" s="80">
        <f>'Reaction ΔG (Arithmetic)'!G13</f>
        <v/>
      </c>
      <c r="H11" s="80">
        <f>'Reaction ΔG (Arithmetic)'!G28</f>
        <v/>
      </c>
      <c r="I11" s="80">
        <f>'Reaction ΔG (Arithmetic)'!G43</f>
        <v/>
      </c>
      <c r="J11" s="81" t="inlineStr">
        <is>
          <t>No</t>
        </is>
      </c>
      <c r="K11" s="82" t="inlineStr">
        <is>
          <t>Low</t>
        </is>
      </c>
      <c r="L11" s="82" t="inlineStr">
        <is>
          <t>Low — common slag component</t>
        </is>
      </c>
      <c r="M11" s="83" t="inlineStr">
        <is>
          <t>Common slag component</t>
        </is>
      </c>
    </row>
    <row r="12">
      <c r="A12" s="72" t="inlineStr">
        <is>
          <t>Cr₂O₃</t>
        </is>
      </c>
      <c r="B12" s="15" t="inlineStr">
        <is>
          <t>Cr2O3</t>
        </is>
      </c>
      <c r="C12" s="73" t="n">
        <v>5.22</v>
      </c>
      <c r="D12" s="15" t="n">
        <v>2435</v>
      </c>
      <c r="E12" s="15" t="inlineStr">
        <is>
          <t>Yes</t>
        </is>
      </c>
      <c r="F12" s="15" t="inlineStr">
        <is>
          <t>Yes</t>
        </is>
      </c>
      <c r="G12" s="74">
        <f>'Reaction ΔG (Arithmetic)'!G14</f>
        <v/>
      </c>
      <c r="H12" s="74">
        <f>'Reaction ΔG (Arithmetic)'!G29</f>
        <v/>
      </c>
      <c r="I12" s="74">
        <f>'Reaction ΔG (Arithmetic)'!G44</f>
        <v/>
      </c>
      <c r="J12" s="75" t="inlineStr">
        <is>
          <t>No</t>
        </is>
      </c>
      <c r="K12" s="76" t="inlineStr">
        <is>
          <t>Moderate — Cr(VI) risk if oxidized</t>
        </is>
      </c>
      <c r="L12" s="76" t="inlineStr">
        <is>
          <t>Moderate</t>
        </is>
      </c>
      <c r="M12" s="77" t="inlineStr">
        <is>
          <t>Cr(VI) oxidation risk in air</t>
        </is>
      </c>
    </row>
    <row r="13">
      <c r="A13" s="78" t="inlineStr">
        <is>
          <t>FeO</t>
        </is>
      </c>
      <c r="B13" s="21" t="inlineStr">
        <is>
          <t>FeO</t>
        </is>
      </c>
      <c r="C13" s="79" t="n">
        <v>5.74</v>
      </c>
      <c r="D13" s="21" t="n">
        <v>1377</v>
      </c>
      <c r="E13" s="21" t="inlineStr">
        <is>
          <t>Yes</t>
        </is>
      </c>
      <c r="F13" s="84" t="inlineStr">
        <is>
          <t>LIQUID</t>
        </is>
      </c>
      <c r="G13" s="80">
        <f>'Reaction ΔG (Arithmetic)'!G15</f>
        <v/>
      </c>
      <c r="H13" s="80">
        <f>'Reaction ΔG (Arithmetic)'!G30</f>
        <v/>
      </c>
      <c r="I13" s="80">
        <f>'Reaction ΔG (Arithmetic)'!G45</f>
        <v/>
      </c>
      <c r="J13" s="81" t="inlineStr">
        <is>
          <t>No</t>
        </is>
      </c>
      <c r="K13" s="82" t="inlineStr">
        <is>
          <t>Low</t>
        </is>
      </c>
      <c r="L13" s="82" t="inlineStr">
        <is>
          <t>Very low — mill scale</t>
        </is>
      </c>
      <c r="M13" s="83" t="inlineStr">
        <is>
          <t>LIQUID at steelmaking temp — cannot skim as particles</t>
        </is>
      </c>
    </row>
    <row r="14">
      <c r="A14" s="72" t="inlineStr">
        <is>
          <t>CuO</t>
        </is>
      </c>
      <c r="B14" s="15" t="inlineStr">
        <is>
          <t>CuO</t>
        </is>
      </c>
      <c r="C14" s="73" t="n">
        <v>6.31</v>
      </c>
      <c r="D14" s="15" t="n">
        <v>1326</v>
      </c>
      <c r="E14" s="15" t="inlineStr">
        <is>
          <t>Yes</t>
        </is>
      </c>
      <c r="F14" s="85" t="inlineStr">
        <is>
          <t>LIQUID</t>
        </is>
      </c>
      <c r="G14" s="74">
        <f>'Reaction ΔG (Arithmetic)'!G16</f>
        <v/>
      </c>
      <c r="H14" s="74">
        <f>'Reaction ΔG (Arithmetic)'!G31</f>
        <v/>
      </c>
      <c r="I14" s="74">
        <f>'Reaction ΔG (Arithmetic)'!G46</f>
        <v/>
      </c>
      <c r="J14" s="86" t="inlineStr">
        <is>
          <t>Trivially yes</t>
        </is>
      </c>
      <c r="K14" s="76" t="inlineStr">
        <is>
          <t>Moderate — aquatic toxin</t>
        </is>
      </c>
      <c r="L14" s="76" t="inlineStr">
        <is>
          <t>Moderate</t>
        </is>
      </c>
      <c r="M14" s="77" t="inlineStr">
        <is>
          <t>Trivial — Cu self-oxidation, not useful</t>
        </is>
      </c>
    </row>
    <row r="15">
      <c r="A15" s="87" t="inlineStr">
        <is>
          <t>MOONSHOT CANDIDATES (Pending TC-Python Extraction)</t>
        </is>
      </c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9" t="n"/>
      <c r="K15" s="119" t="n"/>
      <c r="L15" s="119" t="n"/>
      <c r="M15" s="120" t="n"/>
    </row>
    <row r="16">
      <c r="A16" s="78" t="inlineStr">
        <is>
          <t>NiO</t>
        </is>
      </c>
      <c r="B16" s="21" t="inlineStr">
        <is>
          <t>NiO</t>
        </is>
      </c>
      <c r="C16" s="79" t="n">
        <v>6.67</v>
      </c>
      <c r="D16" s="21" t="n">
        <v>1955</v>
      </c>
      <c r="E16" s="21" t="inlineStr">
        <is>
          <t>Yes</t>
        </is>
      </c>
      <c r="F16" s="21" t="inlineStr">
        <is>
          <t>Yes</t>
        </is>
      </c>
      <c r="G16" s="90" t="inlineStr">
        <is>
          <t>Pending TC-Python</t>
        </is>
      </c>
      <c r="H16" s="90" t="inlineStr">
        <is>
          <t>Pending TC-Python</t>
        </is>
      </c>
      <c r="I16" s="90" t="inlineStr">
        <is>
          <t>Pending TC-Python</t>
        </is>
      </c>
      <c r="J16" s="90" t="inlineStr">
        <is>
          <t>Pending</t>
        </is>
      </c>
      <c r="K16" s="82" t="inlineStr">
        <is>
          <t>Moderate — carcinogenic dust</t>
        </is>
      </c>
      <c r="L16" s="82" t="inlineStr">
        <is>
          <t>Moderate</t>
        </is>
      </c>
      <c r="M16" s="83" t="inlineStr">
        <is>
          <t>Co-tramp element reference — near Cu₂O on Ellingham</t>
        </is>
      </c>
    </row>
    <row r="17">
      <c r="A17" s="72" t="inlineStr">
        <is>
          <t>CoO</t>
        </is>
      </c>
      <c r="B17" s="15" t="inlineStr">
        <is>
          <t>CoO</t>
        </is>
      </c>
      <c r="C17" s="73" t="n">
        <v>6.44</v>
      </c>
      <c r="D17" s="15" t="n">
        <v>1830</v>
      </c>
      <c r="E17" s="15" t="inlineStr">
        <is>
          <t>Yes</t>
        </is>
      </c>
      <c r="F17" s="15" t="inlineStr">
        <is>
          <t>Yes</t>
        </is>
      </c>
      <c r="G17" s="91" t="inlineStr">
        <is>
          <t>Pending TC-Python</t>
        </is>
      </c>
      <c r="H17" s="91" t="inlineStr">
        <is>
          <t>Pending TC-Python</t>
        </is>
      </c>
      <c r="I17" s="91" t="inlineStr">
        <is>
          <t>Pending TC-Python</t>
        </is>
      </c>
      <c r="J17" s="91" t="inlineStr">
        <is>
          <t>Pending</t>
        </is>
      </c>
      <c r="K17" s="76" t="inlineStr">
        <is>
          <t>Moderate — carcinogenic dust</t>
        </is>
      </c>
      <c r="L17" s="76" t="inlineStr">
        <is>
          <t>High</t>
        </is>
      </c>
      <c r="M17" s="77" t="inlineStr">
        <is>
          <t>Co-tramp reference, spinel analogy to CuFe₂O₄</t>
        </is>
      </c>
    </row>
    <row r="18">
      <c r="A18" s="78" t="inlineStr">
        <is>
          <t>PbO</t>
        </is>
      </c>
      <c r="B18" s="21" t="inlineStr">
        <is>
          <t>PbO</t>
        </is>
      </c>
      <c r="C18" s="79" t="n">
        <v>9.529999999999999</v>
      </c>
      <c r="D18" s="21" t="n">
        <v>888</v>
      </c>
      <c r="E18" s="21" t="inlineStr">
        <is>
          <t>No</t>
        </is>
      </c>
      <c r="F18" s="84" t="inlineStr">
        <is>
          <t>LIQUID</t>
        </is>
      </c>
      <c r="G18" s="90" t="inlineStr">
        <is>
          <t>Pending TC-Python</t>
        </is>
      </c>
      <c r="H18" s="90" t="inlineStr">
        <is>
          <t>Pending TC-Python</t>
        </is>
      </c>
      <c r="I18" s="90" t="inlineStr">
        <is>
          <t>Pending TC-Python</t>
        </is>
      </c>
      <c r="J18" s="90" t="inlineStr">
        <is>
          <t>Pending</t>
        </is>
      </c>
      <c r="K18" s="82" t="inlineStr">
        <is>
          <t>HIGH — toxic heavy metal</t>
        </is>
      </c>
      <c r="L18" s="82" t="inlineStr">
        <is>
          <t>Low</t>
        </is>
      </c>
      <c r="M18" s="83" t="inlineStr">
        <is>
          <t>Co-tramp reference — LIQUID, TOXIC</t>
        </is>
      </c>
    </row>
    <row r="19">
      <c r="A19" s="72" t="inlineStr">
        <is>
          <t>B₂O₃</t>
        </is>
      </c>
      <c r="B19" s="15" t="inlineStr">
        <is>
          <t>B2O3</t>
        </is>
      </c>
      <c r="C19" s="73" t="n">
        <v>2.46</v>
      </c>
      <c r="D19" s="15" t="n">
        <v>450</v>
      </c>
      <c r="E19" s="15" t="inlineStr">
        <is>
          <t>Yes</t>
        </is>
      </c>
      <c r="F19" s="85" t="inlineStr">
        <is>
          <t>LIQUID</t>
        </is>
      </c>
      <c r="G19" s="91" t="inlineStr">
        <is>
          <t>Pending TC-Python</t>
        </is>
      </c>
      <c r="H19" s="91" t="inlineStr">
        <is>
          <t>Pending TC-Python</t>
        </is>
      </c>
      <c r="I19" s="91" t="inlineStr">
        <is>
          <t>Pending TC-Python</t>
        </is>
      </c>
      <c r="J19" s="91" t="inlineStr">
        <is>
          <t>Pending</t>
        </is>
      </c>
      <c r="K19" s="76" t="inlineStr">
        <is>
          <t>Low</t>
        </is>
      </c>
      <c r="L19" s="76" t="inlineStr">
        <is>
          <t>Moderate</t>
        </is>
      </c>
      <c r="M19" s="77" t="inlineStr">
        <is>
          <t>Low-melting flux — Cu₂O dissolves in borate slag. Risk: B pickup in steel</t>
        </is>
      </c>
    </row>
    <row r="20">
      <c r="A20" s="78" t="inlineStr">
        <is>
          <t>V₂O₅</t>
        </is>
      </c>
      <c r="B20" s="21" t="inlineStr">
        <is>
          <t>V2O5</t>
        </is>
      </c>
      <c r="C20" s="79" t="n">
        <v>3.36</v>
      </c>
      <c r="D20" s="21" t="n">
        <v>690</v>
      </c>
      <c r="E20" s="21" t="inlineStr">
        <is>
          <t>Yes</t>
        </is>
      </c>
      <c r="F20" s="84" t="inlineStr">
        <is>
          <t>LIQUID</t>
        </is>
      </c>
      <c r="G20" s="90" t="inlineStr">
        <is>
          <t>Pending TC-Python</t>
        </is>
      </c>
      <c r="H20" s="90" t="inlineStr">
        <is>
          <t>Pending TC-Python</t>
        </is>
      </c>
      <c r="I20" s="90" t="inlineStr">
        <is>
          <t>Pending TC-Python</t>
        </is>
      </c>
      <c r="J20" s="90" t="inlineStr">
        <is>
          <t>Pending</t>
        </is>
      </c>
      <c r="K20" s="82" t="inlineStr">
        <is>
          <t>HIGH — toxic</t>
        </is>
      </c>
      <c r="L20" s="82" t="inlineStr">
        <is>
          <t>High</t>
        </is>
      </c>
      <c r="M20" s="83" t="inlineStr">
        <is>
          <t>EXPERIMENTAL EVIDENCE: forms copper vanadates (CuV₂O₆). Bureau of Mines data.</t>
        </is>
      </c>
    </row>
    <row r="21">
      <c r="A21" s="72" t="inlineStr">
        <is>
          <t>La₂O₃</t>
        </is>
      </c>
      <c r="B21" s="15" t="inlineStr">
        <is>
          <t>La2O3</t>
        </is>
      </c>
      <c r="C21" s="73" t="n">
        <v>6.51</v>
      </c>
      <c r="D21" s="15" t="n">
        <v>2315</v>
      </c>
      <c r="E21" s="15" t="inlineStr">
        <is>
          <t>Yes</t>
        </is>
      </c>
      <c r="F21" s="15" t="inlineStr">
        <is>
          <t>Yes</t>
        </is>
      </c>
      <c r="G21" s="91" t="inlineStr">
        <is>
          <t>Pending TC-Python</t>
        </is>
      </c>
      <c r="H21" s="91" t="inlineStr">
        <is>
          <t>Pending TC-Python</t>
        </is>
      </c>
      <c r="I21" s="91" t="inlineStr">
        <is>
          <t>Pending TC-Python</t>
        </is>
      </c>
      <c r="J21" s="91" t="inlineStr">
        <is>
          <t>Pending</t>
        </is>
      </c>
      <c r="K21" s="76" t="inlineStr">
        <is>
          <t>Low</t>
        </is>
      </c>
      <c r="L21" s="76" t="inlineStr">
        <is>
          <t>High — rare earth</t>
        </is>
      </c>
      <c r="M21" s="77" t="inlineStr">
        <is>
          <t>Rare earth — heterogeneous nucleation, adsorption mechanism</t>
        </is>
      </c>
    </row>
    <row r="22">
      <c r="A22" s="92" t="inlineStr">
        <is>
          <t>CeO₂</t>
        </is>
      </c>
      <c r="B22" s="64" t="inlineStr">
        <is>
          <t>CeO2</t>
        </is>
      </c>
      <c r="C22" s="93" t="n">
        <v>7.22</v>
      </c>
      <c r="D22" s="64" t="n">
        <v>2400</v>
      </c>
      <c r="E22" s="64" t="inlineStr">
        <is>
          <t>No</t>
        </is>
      </c>
      <c r="F22" s="64" t="inlineStr">
        <is>
          <t>Yes</t>
        </is>
      </c>
      <c r="G22" s="94" t="inlineStr">
        <is>
          <t>Pending TC-Python</t>
        </is>
      </c>
      <c r="H22" s="94" t="inlineStr">
        <is>
          <t>Pending TC-Python</t>
        </is>
      </c>
      <c r="I22" s="94" t="inlineStr">
        <is>
          <t>Pending TC-Python</t>
        </is>
      </c>
      <c r="J22" s="94" t="inlineStr">
        <is>
          <t>Pending</t>
        </is>
      </c>
      <c r="K22" s="95" t="inlineStr">
        <is>
          <t>Low</t>
        </is>
      </c>
      <c r="L22" s="95" t="inlineStr">
        <is>
          <t>Moderate — most abundant RE</t>
        </is>
      </c>
      <c r="M22" s="96" t="inlineStr">
        <is>
          <t>Ce⁴⁺/Ce³⁺ redox shuttle — oxygen carrier at steelmaking temps</t>
        </is>
      </c>
    </row>
  </sheetData>
  <mergeCells count="3">
    <mergeCell ref="A15:M15"/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65" customWidth="1" min="4" max="4"/>
    <col width="38" customWidth="1" min="5" max="5"/>
    <col width="18" customWidth="1" min="6" max="6"/>
  </cols>
  <sheetData>
    <row r="1">
      <c r="A1" s="1" t="inlineStr">
        <is>
          <t>Extended Oxide Candidates — Rationale &amp; Research Priority</t>
        </is>
      </c>
    </row>
    <row r="2">
      <c r="A2" s="2" t="inlineStr">
        <is>
          <t>These candidates extend beyond the original 10-oxide screening to explore alternative Cu removal mechanisms.</t>
        </is>
      </c>
    </row>
    <row r="4">
      <c r="A4" s="55" t="inlineStr">
        <is>
          <t>Oxide</t>
        </is>
      </c>
      <c r="B4" s="56" t="inlineStr">
        <is>
          <t>Formula</t>
        </is>
      </c>
      <c r="C4" s="56" t="inlineStr">
        <is>
          <t>ΔG_f ~1000K
(kJ/mol O₂)</t>
        </is>
      </c>
      <c r="D4" s="56" t="inlineStr">
        <is>
          <t>Mechanism of Interest</t>
        </is>
      </c>
      <c r="E4" s="56" t="inlineStr">
        <is>
          <t>Key References</t>
        </is>
      </c>
      <c r="F4" s="57" t="inlineStr">
        <is>
          <t>Priority</t>
        </is>
      </c>
    </row>
    <row r="5" ht="60" customHeight="1">
      <c r="A5" s="58" t="inlineStr">
        <is>
          <t>B₂O₃</t>
        </is>
      </c>
      <c r="B5" s="9" t="inlineStr">
        <is>
          <t>B2O3</t>
        </is>
      </c>
      <c r="C5" s="9" t="n">
        <v>-845</v>
      </c>
      <c r="D5" s="97" t="inlineStr">
        <is>
          <t>Borate flux dissolves Cu₂O into liquid slag phase. Low melting point (450°C) ensures full liquid at steelmaking temps. Risk: boron pickup in steel.</t>
        </is>
      </c>
      <c r="E5" s="97" t="inlineStr">
        <is>
          <t>Turkdogan (1996); Slag Atlas</t>
        </is>
      </c>
      <c r="F5" s="38" t="inlineStr">
        <is>
          <t>HIGH</t>
        </is>
      </c>
    </row>
    <row r="6" ht="60" customHeight="1">
      <c r="A6" s="60" t="inlineStr">
        <is>
          <t>V₂O₅</t>
        </is>
      </c>
      <c r="B6" s="15" t="inlineStr">
        <is>
          <t>V2O5</t>
        </is>
      </c>
      <c r="C6" s="15" t="n">
        <v>-542</v>
      </c>
      <c r="D6" s="98" t="inlineStr">
        <is>
          <t>Forms copper vanadates (CuV₂O₆) via chemical reaction, not simple reduction. Bureau of Mines reported Cu removal from lead smelter slags using vanadate fluxes.</t>
        </is>
      </c>
      <c r="E6" s="98" t="inlineStr">
        <is>
          <t>US Bureau of Mines RI 9512; Hino &amp; Toguri (1987)</t>
        </is>
      </c>
      <c r="F6" s="42" t="inlineStr">
        <is>
          <t>HIGH</t>
        </is>
      </c>
    </row>
    <row r="7" ht="60" customHeight="1">
      <c r="A7" s="19" t="inlineStr">
        <is>
          <t>CeO₂</t>
        </is>
      </c>
      <c r="B7" s="21" t="inlineStr">
        <is>
          <t>CeO2</t>
        </is>
      </c>
      <c r="C7" s="21" t="n">
        <v>-1000</v>
      </c>
      <c r="D7" s="99" t="inlineStr">
        <is>
          <t>Ce⁴⁺/Ce³⁺ redox couple acts as oxygen shuttle at steelmaking temps. CeO₂ can oxidize Cu selectively, then re-oxidize in air. Potential for continuous process.</t>
        </is>
      </c>
      <c r="E7" s="99" t="inlineStr">
        <is>
          <t>Zhang et al. (2018) rare earth deoxidation; Adachi &amp; Imanaka (1998)</t>
        </is>
      </c>
      <c r="F7" s="47" t="inlineStr">
        <is>
          <t>HIGH</t>
        </is>
      </c>
    </row>
    <row r="8" ht="60" customHeight="1">
      <c r="A8" s="60" t="inlineStr">
        <is>
          <t>La₂O₃</t>
        </is>
      </c>
      <c r="B8" s="15" t="inlineStr">
        <is>
          <t>La2O3</t>
        </is>
      </c>
      <c r="C8" s="15" t="n">
        <v>-1148</v>
      </c>
      <c r="D8" s="98" t="inlineStr">
        <is>
          <t>Rare earth oxide with strong heterogeneous nucleation effect. May promote Cu₂O precipitation at oxide/melt interface via adsorption mechanism.</t>
        </is>
      </c>
      <c r="E8" s="98" t="inlineStr">
        <is>
          <t>Zhang &amp; Thomas (2003) inclusion engineering; Harada et al. (2014)</t>
        </is>
      </c>
      <c r="F8" s="100" t="inlineStr">
        <is>
          <t>Medium</t>
        </is>
      </c>
    </row>
    <row r="9" ht="60" customHeight="1">
      <c r="A9" s="19" t="inlineStr">
        <is>
          <t>NiO</t>
        </is>
      </c>
      <c r="B9" s="21" t="inlineStr">
        <is>
          <t>NiO</t>
        </is>
      </c>
      <c r="C9" s="21" t="n">
        <v>-244</v>
      </c>
      <c r="D9" s="99" t="inlineStr">
        <is>
          <t>Co-tramp element reference. NiO is near Cu₂O on Ellingham diagram. Ni is also a tramp element in recycled steel; understanding NiO helps benchmark Cu₂O behavior.</t>
        </is>
      </c>
      <c r="E9" s="99" t="inlineStr">
        <is>
          <t>Daehn et al. (2019) tramp element survey</t>
        </is>
      </c>
      <c r="F9" s="101" t="inlineStr">
        <is>
          <t>Low (reference)</t>
        </is>
      </c>
    </row>
    <row r="10" ht="60" customHeight="1">
      <c r="A10" s="60" t="inlineStr">
        <is>
          <t>CoO</t>
        </is>
      </c>
      <c r="B10" s="15" t="inlineStr">
        <is>
          <t>CoO</t>
        </is>
      </c>
      <c r="C10" s="15" t="n">
        <v>-430</v>
      </c>
      <c r="D10" s="98" t="inlineStr">
        <is>
          <t>Spinel analogy to cuprospinel (CuFe₂O₄). CoFe₂O₄ is well-characterized; Co-Cu substitution in spinels may indicate Cu incorporation pathway.</t>
        </is>
      </c>
      <c r="E10" s="98" t="inlineStr">
        <is>
          <t>O'Neill &amp; Navrotsky (1984) spinel thermo</t>
        </is>
      </c>
      <c r="F10" s="102" t="inlineStr">
        <is>
          <t>Low (reference)</t>
        </is>
      </c>
    </row>
    <row r="11" ht="60" customHeight="1">
      <c r="A11" s="63" t="inlineStr">
        <is>
          <t>PbO</t>
        </is>
      </c>
      <c r="B11" s="64" t="inlineStr">
        <is>
          <t>PbO</t>
        </is>
      </c>
      <c r="C11" s="64" t="n">
        <v>-239</v>
      </c>
      <c r="D11" s="103" t="inlineStr">
        <is>
          <t>Co-tramp reference. PbO is near Cu₂O stability. Pb is a co-tramp element (automotive shredder residue). LIQUID at steelmaking temp, TOXIC — not a practical candidate.</t>
        </is>
      </c>
      <c r="E11" s="103" t="inlineStr">
        <is>
          <t>Daehn et al. (2019)</t>
        </is>
      </c>
      <c r="F11" s="104" t="inlineStr">
        <is>
          <t>Low (reference)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2026-03-12T21:16:27Z</dcterms:created>
  <dcterms:modified xmlns:dcterms="http://purl.org/dc/terms/" xmlns:xsi="http://www.w3.org/2001/XMLSchema-instance" xsi:type="dcterms:W3CDTF">2026-03-12T22:12:10Z</dcterms:modified>
</cp:coreProperties>
</file>