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thonydimascio/School/Spring2026/MSE-4381-Capstone/honda-calphad/screening/"/>
    </mc:Choice>
  </mc:AlternateContent>
  <xr:revisionPtr revIDLastSave="0" documentId="13_ncr:1_{DBACC268-1A1B-5B4B-A31E-DC4C4D3056E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G_vs_T" sheetId="1" r:id="rId1"/>
    <sheet name="CuFe2O4_Decomposition" sheetId="2" r:id="rId2"/>
    <sheet name="Activity_Correction" sheetId="3" r:id="rId3"/>
    <sheet name="Candidate_Ranking" sheetId="4" r:id="rId4"/>
    <sheet name="Slag_Effects" sheetId="5" r:id="rId5"/>
    <sheet name="Cu_Activity" sheetId="6" r:id="rId6"/>
    <sheet name="Data_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B7" i="4"/>
  <c r="B6" i="4"/>
  <c r="B5" i="4"/>
  <c r="B4" i="4"/>
  <c r="B3" i="4"/>
  <c r="B2" i="4"/>
  <c r="B35" i="3"/>
  <c r="C35" i="3" s="1"/>
  <c r="B34" i="3"/>
  <c r="C34" i="3" s="1"/>
  <c r="C33" i="3"/>
  <c r="F33" i="3" s="1"/>
  <c r="B33" i="3"/>
  <c r="B32" i="3"/>
  <c r="C32" i="3" s="1"/>
  <c r="C31" i="3"/>
  <c r="H31" i="3" s="1"/>
  <c r="B31" i="3"/>
  <c r="B30" i="3"/>
  <c r="C30" i="3" s="1"/>
  <c r="C29" i="3"/>
  <c r="J29" i="3" s="1"/>
  <c r="B29" i="3"/>
  <c r="B28" i="3"/>
  <c r="C28" i="3" s="1"/>
  <c r="B27" i="3"/>
  <c r="C27" i="3" s="1"/>
  <c r="B26" i="3"/>
  <c r="C26" i="3" s="1"/>
  <c r="C25" i="3"/>
  <c r="F25" i="3" s="1"/>
  <c r="B25" i="3"/>
  <c r="B24" i="3"/>
  <c r="C24" i="3" s="1"/>
  <c r="I23" i="3"/>
  <c r="C23" i="3"/>
  <c r="H23" i="3" s="1"/>
  <c r="B23" i="3"/>
  <c r="H18" i="3"/>
  <c r="H17" i="3"/>
  <c r="H16" i="3"/>
  <c r="H15" i="3"/>
  <c r="H14" i="3"/>
  <c r="H13" i="3"/>
  <c r="H12" i="3"/>
  <c r="C8" i="3"/>
  <c r="E18" i="3" s="1"/>
  <c r="F18" i="3" s="1"/>
  <c r="G18" i="3" s="1"/>
  <c r="C5" i="3"/>
  <c r="F24" i="2"/>
  <c r="E24" i="2"/>
  <c r="B24" i="2"/>
  <c r="F23" i="2"/>
  <c r="E23" i="2"/>
  <c r="B23" i="2"/>
  <c r="F22" i="2"/>
  <c r="E22" i="2"/>
  <c r="B22" i="2"/>
  <c r="F21" i="2"/>
  <c r="E21" i="2"/>
  <c r="B21" i="2"/>
  <c r="F20" i="2"/>
  <c r="E20" i="2"/>
  <c r="B20" i="2"/>
  <c r="F19" i="2"/>
  <c r="E19" i="2"/>
  <c r="B19" i="2"/>
  <c r="F18" i="2"/>
  <c r="E18" i="2"/>
  <c r="B18" i="2"/>
  <c r="F17" i="2"/>
  <c r="E17" i="2"/>
  <c r="B17" i="2"/>
  <c r="F16" i="2"/>
  <c r="E16" i="2"/>
  <c r="B16" i="2"/>
  <c r="F15" i="2"/>
  <c r="E15" i="2"/>
  <c r="B15" i="2"/>
  <c r="F14" i="2"/>
  <c r="E14" i="2"/>
  <c r="B14" i="2"/>
  <c r="F13" i="2"/>
  <c r="E13" i="2"/>
  <c r="B13" i="2"/>
  <c r="F12" i="2"/>
  <c r="E12" i="2"/>
  <c r="B12" i="2"/>
  <c r="F11" i="2"/>
  <c r="E11" i="2"/>
  <c r="B11" i="2"/>
  <c r="F10" i="2"/>
  <c r="E10" i="2"/>
  <c r="B10" i="2"/>
  <c r="F9" i="2"/>
  <c r="E9" i="2"/>
  <c r="B9" i="2"/>
  <c r="F8" i="2"/>
  <c r="E8" i="2"/>
  <c r="B8" i="2"/>
  <c r="F7" i="2"/>
  <c r="E7" i="2"/>
  <c r="B7" i="2"/>
  <c r="F6" i="2"/>
  <c r="E6" i="2"/>
  <c r="B6" i="2"/>
  <c r="F5" i="2"/>
  <c r="E5" i="2"/>
  <c r="B5" i="2"/>
  <c r="F4" i="2"/>
  <c r="E4" i="2"/>
  <c r="B4" i="2"/>
  <c r="F3" i="2"/>
  <c r="E3" i="2"/>
  <c r="B3" i="2"/>
  <c r="F2" i="2"/>
  <c r="E2" i="2"/>
  <c r="B2" i="2"/>
  <c r="H47" i="1"/>
  <c r="G47" i="1"/>
  <c r="F47" i="1"/>
  <c r="E47" i="1"/>
  <c r="D47" i="1"/>
  <c r="C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35" i="3" l="1"/>
  <c r="J35" i="3"/>
  <c r="I35" i="3"/>
  <c r="H35" i="3"/>
  <c r="G35" i="3"/>
  <c r="F35" i="3"/>
  <c r="E35" i="3"/>
  <c r="E26" i="3"/>
  <c r="D26" i="3"/>
  <c r="J26" i="3"/>
  <c r="I26" i="3"/>
  <c r="H26" i="3"/>
  <c r="G26" i="3"/>
  <c r="F26" i="3"/>
  <c r="G24" i="3"/>
  <c r="D24" i="3"/>
  <c r="F24" i="3"/>
  <c r="E24" i="3"/>
  <c r="J24" i="3"/>
  <c r="I24" i="3"/>
  <c r="H24" i="3"/>
  <c r="G32" i="3"/>
  <c r="F32" i="3"/>
  <c r="E32" i="3"/>
  <c r="D32" i="3"/>
  <c r="J32" i="3"/>
  <c r="I32" i="3"/>
  <c r="H32" i="3"/>
  <c r="D27" i="3"/>
  <c r="J27" i="3"/>
  <c r="I27" i="3"/>
  <c r="H27" i="3"/>
  <c r="G27" i="3"/>
  <c r="F27" i="3"/>
  <c r="E27" i="3"/>
  <c r="J28" i="3"/>
  <c r="I28" i="3"/>
  <c r="H28" i="3"/>
  <c r="G28" i="3"/>
  <c r="F28" i="3"/>
  <c r="E28" i="3"/>
  <c r="D28" i="3"/>
  <c r="E34" i="3"/>
  <c r="D34" i="3"/>
  <c r="J34" i="3"/>
  <c r="I34" i="3"/>
  <c r="H34" i="3"/>
  <c r="G34" i="3"/>
  <c r="F34" i="3"/>
  <c r="I30" i="3"/>
  <c r="H30" i="3"/>
  <c r="G30" i="3"/>
  <c r="F30" i="3"/>
  <c r="E30" i="3"/>
  <c r="D30" i="3"/>
  <c r="J30" i="3"/>
  <c r="G25" i="3"/>
  <c r="I31" i="3"/>
  <c r="G33" i="3"/>
  <c r="E13" i="3"/>
  <c r="F13" i="3" s="1"/>
  <c r="G13" i="3" s="1"/>
  <c r="E15" i="3"/>
  <c r="F15" i="3" s="1"/>
  <c r="G15" i="3" s="1"/>
  <c r="E17" i="3"/>
  <c r="F17" i="3" s="1"/>
  <c r="G17" i="3" s="1"/>
  <c r="J23" i="3"/>
  <c r="H25" i="3"/>
  <c r="D29" i="3"/>
  <c r="J31" i="3"/>
  <c r="H33" i="3"/>
  <c r="I25" i="3"/>
  <c r="E29" i="3"/>
  <c r="I33" i="3"/>
  <c r="D23" i="3"/>
  <c r="J25" i="3"/>
  <c r="F29" i="3"/>
  <c r="D31" i="3"/>
  <c r="J33" i="3"/>
  <c r="G29" i="3"/>
  <c r="E31" i="3"/>
  <c r="E12" i="3"/>
  <c r="F12" i="3" s="1"/>
  <c r="G12" i="3" s="1"/>
  <c r="E14" i="3"/>
  <c r="F14" i="3" s="1"/>
  <c r="G14" i="3" s="1"/>
  <c r="E16" i="3"/>
  <c r="F16" i="3" s="1"/>
  <c r="G16" i="3" s="1"/>
  <c r="F23" i="3"/>
  <c r="D25" i="3"/>
  <c r="H29" i="3"/>
  <c r="F31" i="3"/>
  <c r="D33" i="3"/>
  <c r="G23" i="3"/>
  <c r="E25" i="3"/>
  <c r="I29" i="3"/>
  <c r="G31" i="3"/>
  <c r="E33" i="3"/>
  <c r="E23" i="3"/>
</calcChain>
</file>

<file path=xl/sharedStrings.xml><?xml version="1.0" encoding="utf-8"?>
<sst xmlns="http://schemas.openxmlformats.org/spreadsheetml/2006/main" count="474" uniqueCount="131">
  <si>
    <t>T (K)</t>
  </si>
  <si>
    <t>T (°C)</t>
  </si>
  <si>
    <t>dG CuFe2O4 (kJ)</t>
  </si>
  <si>
    <t>dG Cu3V2O8 (kJ)</t>
  </si>
  <si>
    <t>dG CuMn2O4 (kJ)</t>
  </si>
  <si>
    <t>dG Cu2SiO4 (kJ)</t>
  </si>
  <si>
    <t>dG CuB2O4 (kJ)</t>
  </si>
  <si>
    <t>dG CuAl2O4 (kJ)</t>
  </si>
  <si>
    <t>MIN</t>
  </si>
  <si>
    <t>dG_original (kJ)</t>
  </si>
  <si>
    <t>dG_alternative (kJ)</t>
  </si>
  <si>
    <t>dG_Fe_oxidation (kJ)</t>
  </si>
  <si>
    <t>Cu_capture (%)</t>
  </si>
  <si>
    <t>ACTIVITY CORRECTION PARAMETERS</t>
  </si>
  <si>
    <t>Parameter</t>
  </si>
  <si>
    <t>Symbol</t>
  </si>
  <si>
    <t>Value</t>
  </si>
  <si>
    <t>Unit / Note</t>
  </si>
  <si>
    <t>Cu mole fraction in steel</t>
  </si>
  <si>
    <t>X_Cu</t>
  </si>
  <si>
    <t>~0.3 wt% Cu</t>
  </si>
  <si>
    <t>Raoultian activity coefficient</t>
  </si>
  <si>
    <t>γ_Cu</t>
  </si>
  <si>
    <t>Literature range: 5-13</t>
  </si>
  <si>
    <t>Cu activity in liquid Fe</t>
  </si>
  <si>
    <t>a_Cu</t>
  </si>
  <si>
    <t>X_Cu × γ_Cu</t>
  </si>
  <si>
    <t>Temperature</t>
  </si>
  <si>
    <t>T</t>
  </si>
  <si>
    <t>K (steelmaking)</t>
  </si>
  <si>
    <t>Gas constant</t>
  </si>
  <si>
    <t>R</t>
  </si>
  <si>
    <t>J/(mol·K)</t>
  </si>
  <si>
    <t>Penalty per Cu atom consumed</t>
  </si>
  <si>
    <t>-RT·ln(a_Cu)</t>
  </si>
  <si>
    <t>kJ/mol (positive = less favorable)</t>
  </si>
  <si>
    <t>ACTIVITY-CORRECTED ΔG AT 1800 K</t>
  </si>
  <si>
    <t>Product</t>
  </si>
  <si>
    <t>Parent Oxide</t>
  </si>
  <si>
    <t>n_Cu</t>
  </si>
  <si>
    <t>ΔG° (kJ)</t>
  </si>
  <si>
    <t>Cu Penalty (kJ)</t>
  </si>
  <si>
    <t>ΔG_eff (kJ)</t>
  </si>
  <si>
    <t>Verdict</t>
  </si>
  <si>
    <t>ΔG per Cu (kJ)</t>
  </si>
  <si>
    <t>CuFe2O4</t>
  </si>
  <si>
    <t>FeO</t>
  </si>
  <si>
    <t>CuMn2O4</t>
  </si>
  <si>
    <t>MnO</t>
  </si>
  <si>
    <t>CuB2O4</t>
  </si>
  <si>
    <t>B2O3</t>
  </si>
  <si>
    <t>CuV2O6</t>
  </si>
  <si>
    <t>V2O5</t>
  </si>
  <si>
    <t>CuAl2O4</t>
  </si>
  <si>
    <t>Al2O3</t>
  </si>
  <si>
    <t>Cu3V2O8</t>
  </si>
  <si>
    <t>Cu2SiO4</t>
  </si>
  <si>
    <t>SiO2</t>
  </si>
  <si>
    <t>γ_Cu SENSITIVITY ANALYSIS</t>
  </si>
  <si>
    <t>Change γ_Cu in cell C4 above to see all corrections update automatically.</t>
  </si>
  <si>
    <t>Penalty/Cu (kJ)</t>
  </si>
  <si>
    <t>ΔG_eff CuFe2O4</t>
  </si>
  <si>
    <t>ΔG_eff CuMn2O4</t>
  </si>
  <si>
    <t>ΔG_eff CuB2O4</t>
  </si>
  <si>
    <t>ΔG_eff CuV2O6</t>
  </si>
  <si>
    <t>ΔG_eff CuAl2O4</t>
  </si>
  <si>
    <t>ΔG_eff Cu3V2O8</t>
  </si>
  <si>
    <t>ΔG_eff Cu2SiO4</t>
  </si>
  <si>
    <t>NOTE: V₂O₅ can form either Cu₃V₂O₈ (3 Cu, ΔG° = -109.2 kJ) or CuV₂O₆ (1 Cu, ΔG° = -45.0 kJ). Under dilute Cu conditions, CuV₂O₆ is preferred because the 3× penalty makes Cu₃V₂O₈ unfavorable.</t>
  </si>
  <si>
    <t>Bureau of Mines (1960s) used ~1 wt% Cu (a_Cu ≈ 0.13), where both V₂O₅ products are favorable. Their 40-60% removal is consistent with our model.</t>
  </si>
  <si>
    <t>dG at 1800 K (kJ)</t>
  </si>
  <si>
    <t>Named Phase</t>
  </si>
  <si>
    <t>Stable To (K)</t>
  </si>
  <si>
    <t>Tier</t>
  </si>
  <si>
    <t>SPINEL#1</t>
  </si>
  <si>
    <t>Strong</t>
  </si>
  <si>
    <t>(liquid)</t>
  </si>
  <si>
    <t>N/A (liquid)</t>
  </si>
  <si>
    <t>CUB2O4#1</t>
  </si>
  <si>
    <t>Moderate</t>
  </si>
  <si>
    <t>System</t>
  </si>
  <si>
    <t>Ratio Label</t>
  </si>
  <si>
    <t>Ratio Value</t>
  </si>
  <si>
    <t>Stable Phases</t>
  </si>
  <si>
    <t>% Change from Baseline</t>
  </si>
  <si>
    <t>Cu-Mn-Si-O</t>
  </si>
  <si>
    <t>MnO:SiO2</t>
  </si>
  <si>
    <t>CRISTOBALITE#1; IONIC_LIQ#1; IONIC_LIQ#3</t>
  </si>
  <si>
    <t>CRISTOBALITE#1; IONIC_LIQ#1; IONIC_LIQ#2</t>
  </si>
  <si>
    <t>IONIC_LIQ#1; IONIC_LIQ#2</t>
  </si>
  <si>
    <t>IONIC_LIQ#1; IONIC_LIQ#3</t>
  </si>
  <si>
    <t>Cu-Al-Si-O</t>
  </si>
  <si>
    <t>Al2O3:SiO2</t>
  </si>
  <si>
    <t>CRISTOBALITE#1; IONIC_LIQ#1; MULLITE#1</t>
  </si>
  <si>
    <t>IONIC_LIQ#1; MULLITE#1</t>
  </si>
  <si>
    <t>CORUNDUM#1; IONIC_LIQ#1; MULLITE#1</t>
  </si>
  <si>
    <t>Oxide</t>
  </si>
  <si>
    <t>X_M</t>
  </si>
  <si>
    <t>X_O</t>
  </si>
  <si>
    <t>Cu-Al-O</t>
  </si>
  <si>
    <t>CORUNDUM#1; IONIC_LIQ#1</t>
  </si>
  <si>
    <t>Cu-Mn-O</t>
  </si>
  <si>
    <t>HALITE#1; IONIC_LIQ#1</t>
  </si>
  <si>
    <t>Cu-Fe-O</t>
  </si>
  <si>
    <t>Cu-V-O</t>
  </si>
  <si>
    <t>IONIC_LIQ#1; IONIC_LIQ#2; V3O5_HT#1</t>
  </si>
  <si>
    <t>IONIC_LIQ#2</t>
  </si>
  <si>
    <t>GAS#1; IONIC_LIQ#2</t>
  </si>
  <si>
    <t>CSV File</t>
  </si>
  <si>
    <t>Generated By</t>
  </si>
  <si>
    <t>Database</t>
  </si>
  <si>
    <t>Description</t>
  </si>
  <si>
    <t>Date Extracted</t>
  </si>
  <si>
    <t>dG_vs_T_top6.csv</t>
  </si>
  <si>
    <t>simulations/tcpython/dG_vs_T_top6.py</t>
  </si>
  <si>
    <t>TCOX14</t>
  </si>
  <si>
    <t>Fine-resolution dG vs T for top 6 ternary candidates (25 K steps, 800-1900 K)</t>
  </si>
  <si>
    <t>2026-03-13</t>
  </si>
  <si>
    <t>cufe2o4_alternative_reaction.csv</t>
  </si>
  <si>
    <t>simulations/tcpython/cufe2o4_alternative_reaction.py</t>
  </si>
  <si>
    <t>CuFe2O4 formation decomposed into Cu-capture vs Fe-oxidation components (50 K steps, 800-1900 K)</t>
  </si>
  <si>
    <t>cufe2o4_decomposition_results.csv</t>
  </si>
  <si>
    <t>screening/analyze_cufe2o4_decomposition.py</t>
  </si>
  <si>
    <t>(derived from cufe2o4_alternative_reaction.csv)</t>
  </si>
  <si>
    <t>Pre-computed Fe-oxidation and Cu-capture percentages</t>
  </si>
  <si>
    <t>slag_composition_effects.csv</t>
  </si>
  <si>
    <t>simulations/tcpython/slag_composition_effects.py</t>
  </si>
  <si>
    <t>Cu activity in quaternary slag systems (Cu-Mn-Si-O, Cu-Al-Si-O) vs basicity ratio at 1800 K</t>
  </si>
  <si>
    <t>cu_activity_vs_oxide.csv</t>
  </si>
  <si>
    <t>simulations/tcpython/cu_activity_vs_oxide.py</t>
  </si>
  <si>
    <t>Cu activity sweep at 1800 K across 4 ternary systems (Cu-Al-O, Cu-Mn-O, Cu-Fe-O, Cu-V-O), 20 compositions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</si>
</sst>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0.00;\-0.00;0.00"/>
    <numFmt numFmtId="165" formatCode="0.0"/>
    <numFmt numFmtId="166" formatCode="0.0000"/>
    <numFmt numFmtId="167" formatCode="0.000"/>
    <numFmt numFmtId="168" formatCode="\+0.0;\-0.0"/>
    <numFmt numFmtId="169" formatCode="\+0.0;\-0.0;0.0"/>
    <numFmt numFmtId="170" formatCode="0.0000E+00"/>
    <numFmt numFmtId="171" formatCode="0.00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b/>
      <sz val="12"/>
      <name val="Calibri"/>
    </font>
    <font>
      <i/>
      <sz val="9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5" fontId="0" fillId="4" borderId="9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4" borderId="4" xfId="0" applyFill="1" applyBorder="1"/>
    <xf numFmtId="0" fontId="0" fillId="4" borderId="5" xfId="0" applyFill="1" applyBorder="1"/>
    <xf numFmtId="166" fontId="0" fillId="4" borderId="5" xfId="0" applyNumberFormat="1" applyFill="1" applyBorder="1"/>
    <xf numFmtId="0" fontId="0" fillId="4" borderId="6" xfId="0" applyFill="1" applyBorder="1"/>
    <xf numFmtId="0" fontId="0" fillId="3" borderId="4" xfId="0" applyFill="1" applyBorder="1"/>
    <xf numFmtId="0" fontId="0" fillId="3" borderId="5" xfId="0" applyFill="1" applyBorder="1"/>
    <xf numFmtId="165" fontId="0" fillId="3" borderId="5" xfId="0" applyNumberFormat="1" applyFill="1" applyBorder="1"/>
    <xf numFmtId="0" fontId="0" fillId="3" borderId="6" xfId="0" applyFill="1" applyBorder="1"/>
    <xf numFmtId="167" fontId="0" fillId="4" borderId="5" xfId="0" applyNumberFormat="1" applyFill="1" applyBorder="1"/>
    <xf numFmtId="0" fontId="0" fillId="3" borderId="7" xfId="0" applyFill="1" applyBorder="1"/>
    <xf numFmtId="0" fontId="0" fillId="3" borderId="8" xfId="0" applyFill="1" applyBorder="1"/>
    <xf numFmtId="168" fontId="0" fillId="3" borderId="8" xfId="0" applyNumberFormat="1" applyFill="1" applyBorder="1"/>
    <xf numFmtId="0" fontId="0" fillId="3" borderId="9" xfId="0" applyFill="1" applyBorder="1"/>
    <xf numFmtId="169" fontId="0" fillId="4" borderId="5" xfId="0" applyNumberFormat="1" applyFill="1" applyBorder="1" applyAlignment="1">
      <alignment horizontal="center"/>
    </xf>
    <xf numFmtId="169" fontId="0" fillId="4" borderId="6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169" fontId="0" fillId="3" borderId="6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69" fontId="0" fillId="4" borderId="8" xfId="0" applyNumberFormat="1" applyFill="1" applyBorder="1" applyAlignment="1">
      <alignment horizontal="center"/>
    </xf>
    <xf numFmtId="169" fontId="0" fillId="4" borderId="9" xfId="0" applyNumberFormat="1" applyFill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168" fontId="0" fillId="4" borderId="5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8" fontId="0" fillId="3" borderId="5" xfId="0" applyNumberFormat="1" applyFill="1" applyBorder="1" applyAlignment="1">
      <alignment horizontal="center"/>
    </xf>
    <xf numFmtId="165" fontId="0" fillId="4" borderId="7" xfId="0" applyNumberFormat="1" applyFill="1" applyBorder="1" applyAlignment="1">
      <alignment horizontal="center"/>
    </xf>
    <xf numFmtId="166" fontId="0" fillId="4" borderId="8" xfId="0" applyNumberFormat="1" applyFill="1" applyBorder="1" applyAlignment="1">
      <alignment horizontal="center"/>
    </xf>
    <xf numFmtId="168" fontId="0" fillId="4" borderId="8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70" fontId="0" fillId="4" borderId="5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70" fontId="0" fillId="3" borderId="8" xfId="0" applyNumberFormat="1" applyFill="1" applyBorder="1" applyAlignment="1">
      <alignment horizontal="center"/>
    </xf>
    <xf numFmtId="171" fontId="0" fillId="4" borderId="5" xfId="0" applyNumberFormat="1" applyFill="1" applyBorder="1" applyAlignment="1">
      <alignment horizontal="center"/>
    </xf>
    <xf numFmtId="171" fontId="0" fillId="3" borderId="5" xfId="0" applyNumberFormat="1" applyFill="1" applyBorder="1" applyAlignment="1">
      <alignment horizontal="center"/>
    </xf>
    <xf numFmtId="171" fontId="0" fillId="3" borderId="8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2" width="13" customWidth="1"/>
    <col min="3" max="8" width="21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4">
        <v>800</v>
      </c>
      <c r="B2" s="5">
        <f t="shared" ref="B2:B46" si="0">A2-273.15</f>
        <v>526.85</v>
      </c>
      <c r="C2" s="6">
        <v>-271.03187479102428</v>
      </c>
      <c r="D2" s="6">
        <v>-249.1350686443588</v>
      </c>
      <c r="E2" s="6">
        <v>-197.65667208792689</v>
      </c>
      <c r="F2" s="6">
        <v>-166.05034756840561</v>
      </c>
      <c r="G2" s="6">
        <v>-96.858041901098105</v>
      </c>
      <c r="H2" s="7">
        <v>-86.817670414162336</v>
      </c>
    </row>
    <row r="3" spans="1:8" x14ac:dyDescent="0.2">
      <c r="A3" s="8">
        <v>825</v>
      </c>
      <c r="B3" s="9">
        <f t="shared" si="0"/>
        <v>551.85</v>
      </c>
      <c r="C3" s="10">
        <v>-267.09328845043927</v>
      </c>
      <c r="D3" s="10">
        <v>-242.7202021772566</v>
      </c>
      <c r="E3" s="10">
        <v>-193.09772653157469</v>
      </c>
      <c r="F3" s="10">
        <v>-161.77444444307679</v>
      </c>
      <c r="G3" s="10">
        <v>-94.686284814116306</v>
      </c>
      <c r="H3" s="11">
        <v>-85.012388357321498</v>
      </c>
    </row>
    <row r="4" spans="1:8" x14ac:dyDescent="0.2">
      <c r="A4" s="4">
        <v>850</v>
      </c>
      <c r="B4" s="5">
        <f t="shared" si="0"/>
        <v>576.85</v>
      </c>
      <c r="C4" s="6">
        <v>-262.7141421186505</v>
      </c>
      <c r="D4" s="6">
        <v>-236.32543743412481</v>
      </c>
      <c r="E4" s="6">
        <v>-188.56291480883141</v>
      </c>
      <c r="F4" s="6">
        <v>-157.5119421887093</v>
      </c>
      <c r="G4" s="6">
        <v>-92.521221475149744</v>
      </c>
      <c r="H4" s="7">
        <v>-83.217676864398882</v>
      </c>
    </row>
    <row r="5" spans="1:8" x14ac:dyDescent="0.2">
      <c r="A5" s="8">
        <v>875</v>
      </c>
      <c r="B5" s="9">
        <f t="shared" si="0"/>
        <v>601.85</v>
      </c>
      <c r="C5" s="10">
        <v>-258.16752542851083</v>
      </c>
      <c r="D5" s="10">
        <v>-229.9502941331607</v>
      </c>
      <c r="E5" s="10">
        <v>-184.0517541832256</v>
      </c>
      <c r="F5" s="10">
        <v>-153.26252207000141</v>
      </c>
      <c r="G5" s="10">
        <v>-90.362683948138724</v>
      </c>
      <c r="H5" s="11">
        <v>-81.433531047312073</v>
      </c>
    </row>
    <row r="6" spans="1:8" x14ac:dyDescent="0.2">
      <c r="A6" s="4">
        <v>900</v>
      </c>
      <c r="B6" s="5">
        <f t="shared" si="0"/>
        <v>626.85</v>
      </c>
      <c r="C6" s="6">
        <v>-253.6389817711887</v>
      </c>
      <c r="D6" s="6">
        <v>-223.59431871394531</v>
      </c>
      <c r="E6" s="6">
        <v>-179.56374471784241</v>
      </c>
      <c r="F6" s="6">
        <v>-149.02587678967001</v>
      </c>
      <c r="G6" s="6">
        <v>-88.210506084097787</v>
      </c>
      <c r="H6" s="7">
        <v>-79.659946949754371</v>
      </c>
    </row>
    <row r="7" spans="1:8" x14ac:dyDescent="0.2">
      <c r="A7" s="8">
        <v>925</v>
      </c>
      <c r="B7" s="9">
        <f t="shared" si="0"/>
        <v>651.85</v>
      </c>
      <c r="C7" s="10">
        <v>-249.1278475181395</v>
      </c>
      <c r="D7" s="10">
        <v>-217.257082949942</v>
      </c>
      <c r="E7" s="10">
        <v>-175.09837620267879</v>
      </c>
      <c r="F7" s="10">
        <v>-144.80172071116419</v>
      </c>
      <c r="G7" s="10">
        <v>-86.064517212359007</v>
      </c>
      <c r="H7" s="11">
        <v>-77.896920908070172</v>
      </c>
    </row>
    <row r="8" spans="1:8" x14ac:dyDescent="0.2">
      <c r="A8" s="4">
        <v>950</v>
      </c>
      <c r="B8" s="5">
        <f t="shared" si="0"/>
        <v>676.85</v>
      </c>
      <c r="C8" s="6">
        <v>-244.63346308515659</v>
      </c>
      <c r="D8" s="6">
        <v>-210.93818254172101</v>
      </c>
      <c r="E8" s="6">
        <v>-170.65513395779419</v>
      </c>
      <c r="F8" s="6">
        <v>-140.5897841411936</v>
      </c>
      <c r="G8" s="6">
        <v>-83.924531287974446</v>
      </c>
      <c r="H8" s="7">
        <v>-76.144448991521031</v>
      </c>
    </row>
    <row r="9" spans="1:8" x14ac:dyDescent="0.2">
      <c r="A9" s="8">
        <v>975</v>
      </c>
      <c r="B9" s="9">
        <f t="shared" si="0"/>
        <v>701.85</v>
      </c>
      <c r="C9" s="10">
        <v>-240.15527329736861</v>
      </c>
      <c r="D9" s="10">
        <v>-204.86911772080049</v>
      </c>
      <c r="E9" s="10">
        <v>-166.2335036393788</v>
      </c>
      <c r="F9" s="10">
        <v>-136.38981238686409</v>
      </c>
      <c r="G9" s="10">
        <v>-81.790327521639171</v>
      </c>
      <c r="H9" s="11">
        <v>-74.402526384519874</v>
      </c>
    </row>
    <row r="10" spans="1:8" x14ac:dyDescent="0.2">
      <c r="A10" s="4">
        <v>1000</v>
      </c>
      <c r="B10" s="5">
        <f t="shared" si="0"/>
        <v>726.85</v>
      </c>
      <c r="C10" s="6">
        <v>-235.69270566542841</v>
      </c>
      <c r="D10" s="6">
        <v>-198.67768509508761</v>
      </c>
      <c r="E10" s="6">
        <v>-161.83297511297141</v>
      </c>
      <c r="F10" s="6">
        <v>-132.20156473250239</v>
      </c>
      <c r="G10" s="6">
        <v>-79.661614027354162</v>
      </c>
      <c r="H10" s="7">
        <v>-72.671146799038624</v>
      </c>
    </row>
    <row r="11" spans="1:8" x14ac:dyDescent="0.2">
      <c r="A11" s="8">
        <v>1025</v>
      </c>
      <c r="B11" s="9">
        <f t="shared" si="0"/>
        <v>751.85</v>
      </c>
      <c r="C11" s="10">
        <v>-231.24517702201931</v>
      </c>
      <c r="D11" s="10">
        <v>-192.53253351091729</v>
      </c>
      <c r="E11" s="10">
        <v>-157.4530455487934</v>
      </c>
      <c r="F11" s="10">
        <v>-128.02481336672491</v>
      </c>
      <c r="G11" s="10">
        <v>-77.537947450513258</v>
      </c>
      <c r="H11" s="11">
        <v>-70.950301848342647</v>
      </c>
    </row>
    <row r="12" spans="1:8" x14ac:dyDescent="0.2">
      <c r="A12" s="4">
        <v>1050</v>
      </c>
      <c r="B12" s="5">
        <f t="shared" si="0"/>
        <v>776.85</v>
      </c>
      <c r="C12" s="6">
        <v>-226.81217828997899</v>
      </c>
      <c r="D12" s="12"/>
      <c r="E12" s="6">
        <v>-153.09322017738711</v>
      </c>
      <c r="F12" s="6">
        <v>-123.8593405046973</v>
      </c>
      <c r="G12" s="6">
        <v>-75.419088266997136</v>
      </c>
      <c r="H12" s="7">
        <v>-69.239979527171471</v>
      </c>
    </row>
    <row r="13" spans="1:8" x14ac:dyDescent="0.2">
      <c r="A13" s="8">
        <v>1075</v>
      </c>
      <c r="B13" s="9">
        <f t="shared" si="0"/>
        <v>801.85</v>
      </c>
      <c r="C13" s="10">
        <v>-222.39371636134149</v>
      </c>
      <c r="D13" s="10">
        <v>-180.41696805651071</v>
      </c>
      <c r="E13" s="10">
        <v>-148.7530153472058</v>
      </c>
      <c r="F13" s="10">
        <v>-119.7049386838072</v>
      </c>
      <c r="G13" s="10">
        <v>-73.30570115895965</v>
      </c>
      <c r="H13" s="11">
        <v>-67.54016428186651</v>
      </c>
    </row>
    <row r="14" spans="1:8" x14ac:dyDescent="0.2">
      <c r="A14" s="4">
        <v>1100</v>
      </c>
      <c r="B14" s="5">
        <f t="shared" si="0"/>
        <v>826.85</v>
      </c>
      <c r="C14" s="6">
        <v>-217.98972302961749</v>
      </c>
      <c r="D14" s="6">
        <v>-174.47340166586221</v>
      </c>
      <c r="E14" s="6">
        <v>-144.4319604998403</v>
      </c>
      <c r="F14" s="6">
        <v>-115.5614099055431</v>
      </c>
      <c r="G14" s="6">
        <v>-71.197753136759161</v>
      </c>
      <c r="H14" s="7">
        <v>-65.850836505552053</v>
      </c>
    </row>
    <row r="15" spans="1:8" x14ac:dyDescent="0.2">
      <c r="A15" s="8">
        <v>1125</v>
      </c>
      <c r="B15" s="9">
        <f t="shared" si="0"/>
        <v>851.85</v>
      </c>
      <c r="C15" s="10">
        <v>-213.600061741296</v>
      </c>
      <c r="D15" s="10">
        <v>-168.63326076455229</v>
      </c>
      <c r="E15" s="10">
        <v>-140.1295989852911</v>
      </c>
      <c r="F15" s="10">
        <v>-111.4285644846307</v>
      </c>
      <c r="G15" s="10">
        <v>-69.095149337124312</v>
      </c>
      <c r="H15" s="11">
        <v>-64.171971889176632</v>
      </c>
    </row>
    <row r="16" spans="1:8" x14ac:dyDescent="0.2">
      <c r="A16" s="4">
        <v>1150</v>
      </c>
      <c r="B16" s="5">
        <f t="shared" si="0"/>
        <v>876.85</v>
      </c>
      <c r="C16" s="6">
        <v>-209.22460609215381</v>
      </c>
      <c r="D16" s="6">
        <v>-162.9282933069137</v>
      </c>
      <c r="E16" s="6">
        <v>-135.84548875841679</v>
      </c>
      <c r="F16" s="6">
        <v>-107.30622399863761</v>
      </c>
      <c r="G16" s="6">
        <v>-66.997798493478442</v>
      </c>
      <c r="H16" s="7">
        <v>-62.503540793806081</v>
      </c>
    </row>
    <row r="17" spans="1:8" x14ac:dyDescent="0.2">
      <c r="A17" s="8">
        <v>1175</v>
      </c>
      <c r="B17" s="9">
        <f t="shared" si="0"/>
        <v>901.85</v>
      </c>
      <c r="C17" s="10">
        <v>-204.8627415698511</v>
      </c>
      <c r="D17" s="10">
        <v>-157.40500924346409</v>
      </c>
      <c r="E17" s="10">
        <v>-131.57920277218429</v>
      </c>
      <c r="F17" s="10">
        <v>-103.19421847965199</v>
      </c>
      <c r="G17" s="10">
        <v>-64.905612392212959</v>
      </c>
      <c r="H17" s="11">
        <v>-60.845507642111272</v>
      </c>
    </row>
    <row r="18" spans="1:8" x14ac:dyDescent="0.2">
      <c r="A18" s="4">
        <v>1200</v>
      </c>
      <c r="B18" s="5">
        <f t="shared" si="0"/>
        <v>926.85</v>
      </c>
      <c r="C18" s="6">
        <v>-200.5135269605683</v>
      </c>
      <c r="D18" s="6">
        <v>-152.13309294552769</v>
      </c>
      <c r="E18" s="6">
        <v>-127.3303291194199</v>
      </c>
      <c r="F18" s="6">
        <v>-99.092366003388776</v>
      </c>
      <c r="G18" s="6">
        <v>-62.818505339564062</v>
      </c>
      <c r="H18" s="7">
        <v>-59.197830329182793</v>
      </c>
    </row>
    <row r="19" spans="1:8" x14ac:dyDescent="0.2">
      <c r="A19" s="8">
        <v>1225</v>
      </c>
      <c r="B19" s="9">
        <f t="shared" si="0"/>
        <v>951.85</v>
      </c>
      <c r="C19" s="10">
        <v>-196.1786186856967</v>
      </c>
      <c r="D19" s="13"/>
      <c r="E19" s="10">
        <v>-123.0984709858233</v>
      </c>
      <c r="F19" s="10">
        <v>-95.000499205441685</v>
      </c>
      <c r="G19" s="10">
        <v>-60.736393637143067</v>
      </c>
      <c r="H19" s="11">
        <v>-57.560459654448088</v>
      </c>
    </row>
    <row r="20" spans="1:8" x14ac:dyDescent="0.2">
      <c r="A20" s="4">
        <v>1250</v>
      </c>
      <c r="B20" s="5">
        <f t="shared" si="0"/>
        <v>976.85</v>
      </c>
      <c r="C20" s="6">
        <v>-191.85794243765929</v>
      </c>
      <c r="D20" s="6">
        <v>-142.8394846807262</v>
      </c>
      <c r="E20" s="6">
        <v>-118.8832464562594</v>
      </c>
      <c r="F20" s="6">
        <v>-90.918453682822872</v>
      </c>
      <c r="G20" s="6">
        <v>-58.659195065001732</v>
      </c>
      <c r="H20" s="7">
        <v>-55.933338778071807</v>
      </c>
    </row>
    <row r="21" spans="1:8" x14ac:dyDescent="0.2">
      <c r="A21" s="8">
        <v>1275</v>
      </c>
      <c r="B21" s="9">
        <f t="shared" si="0"/>
        <v>1001.85</v>
      </c>
      <c r="C21" s="10">
        <v>-187.5514615661267</v>
      </c>
      <c r="D21" s="13"/>
      <c r="E21" s="10">
        <v>-114.68430049796309</v>
      </c>
      <c r="F21" s="10">
        <v>-86.846091502868575</v>
      </c>
      <c r="G21" s="10">
        <v>-56.586840636059883</v>
      </c>
      <c r="H21" s="11">
        <v>-54.316414970728097</v>
      </c>
    </row>
    <row r="22" spans="1:8" x14ac:dyDescent="0.2">
      <c r="A22" s="4">
        <v>1300</v>
      </c>
      <c r="B22" s="5">
        <f t="shared" si="0"/>
        <v>1026.8499999999999</v>
      </c>
      <c r="C22" s="6">
        <v>-183.2592137216339</v>
      </c>
      <c r="D22" s="12"/>
      <c r="E22" s="6">
        <v>-110.50134940567359</v>
      </c>
      <c r="F22" s="6">
        <v>-82.783389647304318</v>
      </c>
      <c r="G22" s="6">
        <v>-54.519318818097702</v>
      </c>
      <c r="H22" s="7">
        <v>-52.709683858286823</v>
      </c>
    </row>
    <row r="23" spans="1:8" x14ac:dyDescent="0.2">
      <c r="A23" s="8">
        <v>1325</v>
      </c>
      <c r="B23" s="9">
        <f t="shared" si="0"/>
        <v>1051.8499999999999</v>
      </c>
      <c r="C23" s="10">
        <v>-178.98120378147561</v>
      </c>
      <c r="D23" s="13"/>
      <c r="E23" s="10">
        <v>-106.33408241134229</v>
      </c>
      <c r="F23" s="10">
        <v>-78.73024252475193</v>
      </c>
      <c r="G23" s="10">
        <v>-53.054238035293992</v>
      </c>
      <c r="H23" s="11">
        <v>-51.113090733647113</v>
      </c>
    </row>
    <row r="24" spans="1:8" x14ac:dyDescent="0.2">
      <c r="A24" s="4">
        <v>1350</v>
      </c>
      <c r="B24" s="5">
        <f t="shared" si="0"/>
        <v>1076.8499999999999</v>
      </c>
      <c r="C24" s="6">
        <v>-174.71743102012249</v>
      </c>
      <c r="D24" s="6">
        <v>-135.64175117278981</v>
      </c>
      <c r="E24" s="6">
        <v>-102.1821983961824</v>
      </c>
      <c r="F24" s="6">
        <v>-74.686533985739572</v>
      </c>
      <c r="G24" s="6">
        <v>-53.009005903828189</v>
      </c>
      <c r="H24" s="7">
        <v>-49.526566658319439</v>
      </c>
    </row>
    <row r="25" spans="1:8" x14ac:dyDescent="0.2">
      <c r="A25" s="8">
        <v>1375</v>
      </c>
      <c r="B25" s="9">
        <f t="shared" si="0"/>
        <v>1101.8499999999999</v>
      </c>
      <c r="C25" s="10">
        <v>-170.36264469213361</v>
      </c>
      <c r="D25" s="10">
        <v>-134.4007994827619</v>
      </c>
      <c r="E25" s="10">
        <v>-97.876796864334494</v>
      </c>
      <c r="F25" s="10">
        <v>-71.801833177304829</v>
      </c>
      <c r="G25" s="10">
        <v>-52.792428953492781</v>
      </c>
      <c r="H25" s="11">
        <v>-47.779646266276949</v>
      </c>
    </row>
    <row r="26" spans="1:8" x14ac:dyDescent="0.2">
      <c r="A26" s="4">
        <v>1400</v>
      </c>
      <c r="B26" s="5">
        <f t="shared" si="0"/>
        <v>1126.8499999999999</v>
      </c>
      <c r="C26" s="6">
        <v>-166.00868846614819</v>
      </c>
      <c r="D26" s="6">
        <v>-132.9362771697682</v>
      </c>
      <c r="E26" s="6">
        <v>-93.632384562781311</v>
      </c>
      <c r="F26" s="6">
        <v>-70.550312482750272</v>
      </c>
      <c r="G26" s="6">
        <v>-52.500641035510917</v>
      </c>
      <c r="H26" s="7">
        <v>-45.968408360122012</v>
      </c>
    </row>
    <row r="27" spans="1:8" x14ac:dyDescent="0.2">
      <c r="A27" s="8">
        <v>1425</v>
      </c>
      <c r="B27" s="9">
        <f t="shared" si="0"/>
        <v>1151.8499999999999</v>
      </c>
      <c r="C27" s="10">
        <v>-161.73568563544609</v>
      </c>
      <c r="D27" s="10">
        <v>-131.46934051141511</v>
      </c>
      <c r="E27" s="10">
        <v>-89.608759481063572</v>
      </c>
      <c r="F27" s="10">
        <v>-69.30958470675489</v>
      </c>
      <c r="G27" s="10">
        <v>-52.207471565847051</v>
      </c>
      <c r="H27" s="11">
        <v>-44.166741426024117</v>
      </c>
    </row>
    <row r="28" spans="1:8" x14ac:dyDescent="0.2">
      <c r="A28" s="4">
        <v>1450</v>
      </c>
      <c r="B28" s="5">
        <f t="shared" si="0"/>
        <v>1176.8499999999999</v>
      </c>
      <c r="C28" s="6">
        <v>-157.5645635551985</v>
      </c>
      <c r="D28" s="6">
        <v>-129.99993903748779</v>
      </c>
      <c r="E28" s="6">
        <v>-85.836397608679945</v>
      </c>
      <c r="F28" s="6">
        <v>-68.07984879847686</v>
      </c>
      <c r="G28" s="6">
        <v>-51.913010046443901</v>
      </c>
      <c r="H28" s="7">
        <v>-42.375020998300521</v>
      </c>
    </row>
    <row r="29" spans="1:8" x14ac:dyDescent="0.2">
      <c r="A29" s="8">
        <v>1475</v>
      </c>
      <c r="B29" s="9">
        <f t="shared" si="0"/>
        <v>1201.8499999999999</v>
      </c>
      <c r="C29" s="10">
        <v>-153.51565810302509</v>
      </c>
      <c r="D29" s="10">
        <v>-128.52802708463051</v>
      </c>
      <c r="E29" s="10">
        <v>-82.351275057927936</v>
      </c>
      <c r="F29" s="10">
        <v>-66.861310683275804</v>
      </c>
      <c r="G29" s="10">
        <v>-51.61734373214329</v>
      </c>
      <c r="H29" s="11">
        <v>-40.594076869886827</v>
      </c>
    </row>
    <row r="30" spans="1:8" x14ac:dyDescent="0.2">
      <c r="A30" s="4">
        <v>1500</v>
      </c>
      <c r="B30" s="5">
        <f t="shared" si="0"/>
        <v>1226.8499999999999</v>
      </c>
      <c r="C30" s="6">
        <v>-149.60505906974461</v>
      </c>
      <c r="D30" s="6">
        <v>-127.0535638199416</v>
      </c>
      <c r="E30" s="6">
        <v>-79.185533412066761</v>
      </c>
      <c r="F30" s="6">
        <v>-65.654196756371292</v>
      </c>
      <c r="G30" s="6">
        <v>-51.32055847963202</v>
      </c>
      <c r="H30" s="7">
        <v>-38.82567997995438</v>
      </c>
    </row>
    <row r="31" spans="1:8" x14ac:dyDescent="0.2">
      <c r="A31" s="8">
        <v>1525</v>
      </c>
      <c r="B31" s="9">
        <f t="shared" si="0"/>
        <v>1251.8499999999999</v>
      </c>
      <c r="C31" s="10">
        <v>-145.84285754493791</v>
      </c>
      <c r="D31" s="10">
        <v>-125.5765133131431</v>
      </c>
      <c r="E31" s="10">
        <v>-76.354681054622873</v>
      </c>
      <c r="F31" s="10">
        <v>-64.458768890666306</v>
      </c>
      <c r="G31" s="10">
        <v>-51.022739929205272</v>
      </c>
      <c r="H31" s="11">
        <v>-37.073522399041337</v>
      </c>
    </row>
    <row r="32" spans="1:8" x14ac:dyDescent="0.2">
      <c r="A32" s="4">
        <v>1550</v>
      </c>
      <c r="B32" s="5">
        <f t="shared" si="0"/>
        <v>1276.8499999999999</v>
      </c>
      <c r="C32" s="6">
        <v>-142.23488229793051</v>
      </c>
      <c r="D32" s="6">
        <v>-124.0968445850271</v>
      </c>
      <c r="E32" s="6">
        <v>-73.850637483789114</v>
      </c>
      <c r="F32" s="6">
        <v>-63.275340599699177</v>
      </c>
      <c r="G32" s="6">
        <v>-50.723975114004453</v>
      </c>
      <c r="H32" s="7">
        <v>-35.345136499626093</v>
      </c>
    </row>
    <row r="33" spans="1:8" x14ac:dyDescent="0.2">
      <c r="A33" s="8">
        <v>1575</v>
      </c>
      <c r="B33" s="9">
        <f t="shared" si="0"/>
        <v>1301.8499999999999</v>
      </c>
      <c r="C33" s="10">
        <v>-138.7865405564865</v>
      </c>
      <c r="D33" s="10">
        <v>-122.61453245286459</v>
      </c>
      <c r="E33" s="10">
        <v>-71.649689767164645</v>
      </c>
      <c r="F33" s="10">
        <v>-62.104293484522273</v>
      </c>
      <c r="G33" s="10">
        <v>-50.424354614623127</v>
      </c>
      <c r="H33" s="11">
        <v>-34.701742273796349</v>
      </c>
    </row>
    <row r="34" spans="1:8" x14ac:dyDescent="0.2">
      <c r="A34" s="4">
        <v>1600</v>
      </c>
      <c r="B34" s="5">
        <f t="shared" si="0"/>
        <v>1326.85</v>
      </c>
      <c r="C34" s="6">
        <v>-135.50661616360981</v>
      </c>
      <c r="D34" s="6">
        <v>-121.1295572899743</v>
      </c>
      <c r="E34" s="6">
        <v>-69.728238699638752</v>
      </c>
      <c r="F34" s="6">
        <v>-60.946092164124131</v>
      </c>
      <c r="G34" s="6">
        <v>-50.123975401843673</v>
      </c>
      <c r="H34" s="7">
        <v>-34.366378364969037</v>
      </c>
    </row>
    <row r="35" spans="1:8" x14ac:dyDescent="0.2">
      <c r="A35" s="8">
        <v>1625</v>
      </c>
      <c r="B35" s="9">
        <f t="shared" si="0"/>
        <v>1351.85</v>
      </c>
      <c r="C35" s="10">
        <v>-132.41040433610581</v>
      </c>
      <c r="D35" s="10">
        <v>-119.64190529222969</v>
      </c>
      <c r="E35" s="10">
        <v>-68.07349426523713</v>
      </c>
      <c r="F35" s="10">
        <v>-59.801294422126141</v>
      </c>
      <c r="G35" s="10">
        <v>-49.822944542005423</v>
      </c>
      <c r="H35" s="11">
        <v>-34.045857975563031</v>
      </c>
    </row>
    <row r="36" spans="1:8" x14ac:dyDescent="0.2">
      <c r="A36" s="4">
        <v>1650</v>
      </c>
      <c r="B36" s="5">
        <f t="shared" si="0"/>
        <v>1376.85</v>
      </c>
      <c r="C36" s="6">
        <v>-129.29344387955641</v>
      </c>
      <c r="D36" s="6">
        <v>-118.1515688243541</v>
      </c>
      <c r="E36" s="6">
        <v>-66.687424473801855</v>
      </c>
      <c r="F36" s="6">
        <v>-58.670551494106419</v>
      </c>
      <c r="G36" s="6">
        <v>-49.521383974596617</v>
      </c>
      <c r="H36" s="7">
        <v>-33.74089685786236</v>
      </c>
    </row>
    <row r="37" spans="1:8" x14ac:dyDescent="0.2">
      <c r="A37" s="8">
        <v>1675</v>
      </c>
      <c r="B37" s="9">
        <f t="shared" si="0"/>
        <v>1401.85</v>
      </c>
      <c r="C37" s="10">
        <v>-125.6435819110672</v>
      </c>
      <c r="D37" s="13"/>
      <c r="E37" s="10">
        <v>-65.588487791758027</v>
      </c>
      <c r="F37" s="10">
        <v>-57.554594564945212</v>
      </c>
      <c r="G37" s="10">
        <v>-49.219436613468453</v>
      </c>
      <c r="H37" s="11">
        <v>-33.452457228876177</v>
      </c>
    </row>
    <row r="38" spans="1:8" x14ac:dyDescent="0.2">
      <c r="A38" s="4">
        <v>1700</v>
      </c>
      <c r="B38" s="5">
        <f t="shared" si="0"/>
        <v>1426.85</v>
      </c>
      <c r="C38" s="6">
        <v>-122.2904987869768</v>
      </c>
      <c r="D38" s="6">
        <v>-115.1628482228937</v>
      </c>
      <c r="E38" s="6">
        <v>-64.814795764697251</v>
      </c>
      <c r="F38" s="6">
        <v>-56.45420089473901</v>
      </c>
      <c r="G38" s="6">
        <v>-48.917274072358147</v>
      </c>
      <c r="H38" s="7">
        <v>-33.18178676280845</v>
      </c>
    </row>
    <row r="39" spans="1:8" x14ac:dyDescent="0.2">
      <c r="A39" s="8">
        <v>1725</v>
      </c>
      <c r="B39" s="9">
        <f t="shared" si="0"/>
        <v>1451.85</v>
      </c>
      <c r="C39" s="10">
        <v>-119.3302823628907</v>
      </c>
      <c r="D39" s="10">
        <v>-113.66448663255009</v>
      </c>
      <c r="E39" s="10">
        <v>-64.431384095410124</v>
      </c>
      <c r="F39" s="10">
        <v>-55.370168150172113</v>
      </c>
      <c r="G39" s="10">
        <v>-48.615106374051663</v>
      </c>
      <c r="H39" s="11">
        <v>-32.93046345427539</v>
      </c>
    </row>
    <row r="40" spans="1:8" x14ac:dyDescent="0.2">
      <c r="A40" s="4">
        <v>1750</v>
      </c>
      <c r="B40" s="5">
        <f t="shared" si="0"/>
        <v>1476.85</v>
      </c>
      <c r="C40" s="6">
        <v>-116.77672267132699</v>
      </c>
      <c r="D40" s="6">
        <v>-112.1634881084766</v>
      </c>
      <c r="E40" s="6">
        <v>-64.398131291354304</v>
      </c>
      <c r="F40" s="6">
        <v>-54.302418121553018</v>
      </c>
      <c r="G40" s="6">
        <v>-48.313194074165771</v>
      </c>
      <c r="H40" s="7">
        <v>-32.700448688379488</v>
      </c>
    </row>
    <row r="41" spans="1:8" x14ac:dyDescent="0.2">
      <c r="A41" s="8">
        <v>1775</v>
      </c>
      <c r="B41" s="9">
        <f t="shared" si="0"/>
        <v>1501.85</v>
      </c>
      <c r="C41" s="10">
        <v>-114.302154970214</v>
      </c>
      <c r="D41" s="10">
        <v>-110.6598890721374</v>
      </c>
      <c r="E41" s="10">
        <v>-64.407851184952534</v>
      </c>
      <c r="F41" s="10">
        <v>-53.249419289316052</v>
      </c>
      <c r="G41" s="10">
        <v>-48.01186332107941</v>
      </c>
      <c r="H41" s="11">
        <v>-32.494151939087082</v>
      </c>
    </row>
    <row r="42" spans="1:8" x14ac:dyDescent="0.2">
      <c r="A42" s="4">
        <v>1800</v>
      </c>
      <c r="B42" s="5">
        <f t="shared" si="0"/>
        <v>1526.85</v>
      </c>
      <c r="C42" s="6">
        <v>-111.8803016055257</v>
      </c>
      <c r="D42" s="6">
        <v>-109.153739537538</v>
      </c>
      <c r="E42" s="6">
        <v>-64.442551778858061</v>
      </c>
      <c r="F42" s="6">
        <v>-52.214203866023801</v>
      </c>
      <c r="G42" s="6">
        <v>-47.711524490325708</v>
      </c>
      <c r="H42" s="7">
        <v>-32.314512163001581</v>
      </c>
    </row>
    <row r="43" spans="1:8" x14ac:dyDescent="0.2">
      <c r="A43" s="8">
        <v>1825</v>
      </c>
      <c r="B43" s="9">
        <f t="shared" si="0"/>
        <v>1551.85</v>
      </c>
      <c r="C43" s="10">
        <v>-109.5030324288458</v>
      </c>
      <c r="D43" s="10">
        <v>-107.6451053543319</v>
      </c>
      <c r="E43" s="10">
        <v>-64.501372826045383</v>
      </c>
      <c r="F43" s="10">
        <v>-51.197319184474637</v>
      </c>
      <c r="G43" s="10">
        <v>-47.412695188822461</v>
      </c>
      <c r="H43" s="11">
        <v>-32.165103318163659</v>
      </c>
    </row>
    <row r="44" spans="1:8" x14ac:dyDescent="0.2">
      <c r="A44" s="4">
        <v>1850</v>
      </c>
      <c r="B44" s="5">
        <f t="shared" si="0"/>
        <v>1576.85</v>
      </c>
      <c r="C44" s="6">
        <v>-107.1792750143418</v>
      </c>
      <c r="D44" s="6">
        <v>-106.1340729561048</v>
      </c>
      <c r="E44" s="6">
        <v>-64.583470524442617</v>
      </c>
      <c r="F44" s="6">
        <v>-50.199376928555083</v>
      </c>
      <c r="G44" s="6">
        <v>-47.116028641715879</v>
      </c>
      <c r="H44" s="7">
        <v>-32.050274589867797</v>
      </c>
    </row>
    <row r="45" spans="1:8" x14ac:dyDescent="0.2">
      <c r="A45" s="8">
        <v>1875</v>
      </c>
      <c r="B45" s="9">
        <f t="shared" si="0"/>
        <v>1601.85</v>
      </c>
      <c r="C45" s="10">
        <v>-104.9095506934915</v>
      </c>
      <c r="D45" s="10">
        <v>-104.62075137034709</v>
      </c>
      <c r="E45" s="10">
        <v>-64.688019701905077</v>
      </c>
      <c r="F45" s="10">
        <v>-49.221131581596573</v>
      </c>
      <c r="G45" s="10">
        <v>-46.822348782398272</v>
      </c>
      <c r="H45" s="11">
        <v>-31.97533971936349</v>
      </c>
    </row>
    <row r="46" spans="1:8" x14ac:dyDescent="0.2">
      <c r="A46" s="4">
        <v>1900</v>
      </c>
      <c r="B46" s="5">
        <f t="shared" si="0"/>
        <v>1626.85</v>
      </c>
      <c r="C46" s="6">
        <v>-102.6937816081345</v>
      </c>
      <c r="D46" s="6">
        <v>-103.1052776058642</v>
      </c>
      <c r="E46" s="6">
        <v>-64.814216096593768</v>
      </c>
      <c r="F46" s="6">
        <v>-48.263557155439401</v>
      </c>
      <c r="G46" s="6">
        <v>-46.532693813735378</v>
      </c>
      <c r="H46" s="7">
        <v>-31.94683367608534</v>
      </c>
    </row>
    <row r="47" spans="1:8" x14ac:dyDescent="0.2">
      <c r="A47" s="14" t="s">
        <v>8</v>
      </c>
      <c r="B47" s="15"/>
      <c r="C47" s="16">
        <f t="shared" ref="C47:H47" si="1">MIN(C2:C46)</f>
        <v>-271.03187479102428</v>
      </c>
      <c r="D47" s="16">
        <f t="shared" si="1"/>
        <v>-249.1350686443588</v>
      </c>
      <c r="E47" s="16">
        <f t="shared" si="1"/>
        <v>-197.65667208792689</v>
      </c>
      <c r="F47" s="16">
        <f t="shared" si="1"/>
        <v>-166.05034756840561</v>
      </c>
      <c r="G47" s="16">
        <f t="shared" si="1"/>
        <v>-96.858041901098105</v>
      </c>
      <c r="H47" s="17">
        <f t="shared" si="1"/>
        <v>-86.817670414162336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8" customWidth="1"/>
    <col min="2" max="2" width="13" customWidth="1"/>
    <col min="3" max="4" width="21" customWidth="1"/>
    <col min="5" max="5" width="22" customWidth="1"/>
    <col min="6" max="6" width="16" customWidth="1"/>
  </cols>
  <sheetData>
    <row r="1" spans="1:6" x14ac:dyDescent="0.2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3" t="s">
        <v>12</v>
      </c>
    </row>
    <row r="2" spans="1:6" x14ac:dyDescent="0.2">
      <c r="A2" s="4">
        <v>800</v>
      </c>
      <c r="B2" s="5">
        <f t="shared" ref="B2:B24" si="0">A2-273.15</f>
        <v>526.85</v>
      </c>
      <c r="C2" s="6">
        <v>-271.03187479102428</v>
      </c>
      <c r="D2" s="6">
        <v>-85.340852693575897</v>
      </c>
      <c r="E2" s="6">
        <f t="shared" ref="E2:E24" si="1">C2-D2</f>
        <v>-185.69102209744838</v>
      </c>
      <c r="F2" s="18">
        <f t="shared" ref="F2:F24" si="2">D2/C2*100</f>
        <v>31.487386035084207</v>
      </c>
    </row>
    <row r="3" spans="1:6" x14ac:dyDescent="0.2">
      <c r="A3" s="8">
        <v>850</v>
      </c>
      <c r="B3" s="9">
        <f t="shared" si="0"/>
        <v>576.85</v>
      </c>
      <c r="C3" s="10">
        <v>-262.7141421186505</v>
      </c>
      <c r="D3" s="10">
        <v>-82.376584455295699</v>
      </c>
      <c r="E3" s="10">
        <f t="shared" si="1"/>
        <v>-180.3375576633548</v>
      </c>
      <c r="F3" s="19">
        <f t="shared" si="2"/>
        <v>31.35597642021558</v>
      </c>
    </row>
    <row r="4" spans="1:6" x14ac:dyDescent="0.2">
      <c r="A4" s="4">
        <v>900</v>
      </c>
      <c r="B4" s="5">
        <f t="shared" si="0"/>
        <v>626.85</v>
      </c>
      <c r="C4" s="6">
        <v>-253.6389817711887</v>
      </c>
      <c r="D4" s="6">
        <v>-79.38409696046007</v>
      </c>
      <c r="E4" s="6">
        <f t="shared" si="1"/>
        <v>-174.25488481072864</v>
      </c>
      <c r="F4" s="18">
        <f t="shared" si="2"/>
        <v>31.298066411602921</v>
      </c>
    </row>
    <row r="5" spans="1:6" x14ac:dyDescent="0.2">
      <c r="A5" s="8">
        <v>950</v>
      </c>
      <c r="B5" s="9">
        <f t="shared" si="0"/>
        <v>676.85</v>
      </c>
      <c r="C5" s="10">
        <v>-244.63346308515659</v>
      </c>
      <c r="D5" s="10">
        <v>-76.337724444870844</v>
      </c>
      <c r="E5" s="10">
        <f t="shared" si="1"/>
        <v>-168.29573864028575</v>
      </c>
      <c r="F5" s="19">
        <f t="shared" si="2"/>
        <v>31.204939619522854</v>
      </c>
    </row>
    <row r="6" spans="1:6" x14ac:dyDescent="0.2">
      <c r="A6" s="4">
        <v>1000</v>
      </c>
      <c r="B6" s="5">
        <f t="shared" si="0"/>
        <v>726.85</v>
      </c>
      <c r="C6" s="6">
        <v>-235.69270566542841</v>
      </c>
      <c r="D6" s="6">
        <v>-73.247968652626966</v>
      </c>
      <c r="E6" s="6">
        <f t="shared" si="1"/>
        <v>-162.44473701280145</v>
      </c>
      <c r="F6" s="18">
        <f t="shared" si="2"/>
        <v>31.077741012742354</v>
      </c>
    </row>
    <row r="7" spans="1:6" x14ac:dyDescent="0.2">
      <c r="A7" s="8">
        <v>1050</v>
      </c>
      <c r="B7" s="9">
        <f t="shared" si="0"/>
        <v>776.85</v>
      </c>
      <c r="C7" s="10">
        <v>-226.81217828997899</v>
      </c>
      <c r="D7" s="10">
        <v>-70.178773343608952</v>
      </c>
      <c r="E7" s="10">
        <f t="shared" si="1"/>
        <v>-156.63340494637004</v>
      </c>
      <c r="F7" s="19">
        <f t="shared" si="2"/>
        <v>30.941360324085203</v>
      </c>
    </row>
    <row r="8" spans="1:6" x14ac:dyDescent="0.2">
      <c r="A8" s="4">
        <v>1100</v>
      </c>
      <c r="B8" s="5">
        <f t="shared" si="0"/>
        <v>826.85</v>
      </c>
      <c r="C8" s="6">
        <v>-217.98972302961749</v>
      </c>
      <c r="D8" s="6">
        <v>-67.143946766145064</v>
      </c>
      <c r="E8" s="6">
        <f t="shared" si="1"/>
        <v>-150.84577626347243</v>
      </c>
      <c r="F8" s="18">
        <f t="shared" si="2"/>
        <v>30.801427623733645</v>
      </c>
    </row>
    <row r="9" spans="1:6" x14ac:dyDescent="0.2">
      <c r="A9" s="8">
        <v>1150</v>
      </c>
      <c r="B9" s="9">
        <f t="shared" si="0"/>
        <v>876.85</v>
      </c>
      <c r="C9" s="10">
        <v>-209.22460609215381</v>
      </c>
      <c r="D9" s="10">
        <v>-64.151392707426339</v>
      </c>
      <c r="E9" s="10">
        <f t="shared" si="1"/>
        <v>-145.07321338472747</v>
      </c>
      <c r="F9" s="19">
        <f t="shared" si="2"/>
        <v>30.661495273252232</v>
      </c>
    </row>
    <row r="10" spans="1:6" x14ac:dyDescent="0.2">
      <c r="A10" s="4">
        <v>1200</v>
      </c>
      <c r="B10" s="5">
        <f t="shared" si="0"/>
        <v>926.85</v>
      </c>
      <c r="C10" s="6">
        <v>-200.5135269605683</v>
      </c>
      <c r="D10" s="6">
        <v>-61.206737498253119</v>
      </c>
      <c r="E10" s="6">
        <f t="shared" si="1"/>
        <v>-139.30678946231518</v>
      </c>
      <c r="F10" s="18">
        <f t="shared" si="2"/>
        <v>30.524991718034883</v>
      </c>
    </row>
    <row r="11" spans="1:6" x14ac:dyDescent="0.2">
      <c r="A11" s="8">
        <v>1250</v>
      </c>
      <c r="B11" s="9">
        <f t="shared" si="0"/>
        <v>976.85</v>
      </c>
      <c r="C11" s="10">
        <v>-191.85794243765929</v>
      </c>
      <c r="D11" s="10">
        <v>-58.314513106322849</v>
      </c>
      <c r="E11" s="10">
        <f t="shared" si="1"/>
        <v>-133.54342933133643</v>
      </c>
      <c r="F11" s="19">
        <f t="shared" si="2"/>
        <v>30.39463071760559</v>
      </c>
    </row>
    <row r="12" spans="1:6" x14ac:dyDescent="0.2">
      <c r="A12" s="4">
        <v>1300</v>
      </c>
      <c r="B12" s="5">
        <f t="shared" si="0"/>
        <v>1026.8499999999999</v>
      </c>
      <c r="C12" s="6">
        <v>-183.2592137216339</v>
      </c>
      <c r="D12" s="6">
        <v>-55.478722378524488</v>
      </c>
      <c r="E12" s="6">
        <f t="shared" si="1"/>
        <v>-127.78049134310942</v>
      </c>
      <c r="F12" s="18">
        <f t="shared" si="2"/>
        <v>30.273360477686683</v>
      </c>
    </row>
    <row r="13" spans="1:6" x14ac:dyDescent="0.2">
      <c r="A13" s="8">
        <v>1350</v>
      </c>
      <c r="B13" s="9">
        <f t="shared" si="0"/>
        <v>1076.8499999999999</v>
      </c>
      <c r="C13" s="10">
        <v>-174.71743102012249</v>
      </c>
      <c r="D13" s="10">
        <v>-52.703069488500248</v>
      </c>
      <c r="E13" s="10">
        <f t="shared" si="1"/>
        <v>-122.01436153162224</v>
      </c>
      <c r="F13" s="19">
        <f t="shared" si="2"/>
        <v>30.164746116505313</v>
      </c>
    </row>
    <row r="14" spans="1:6" x14ac:dyDescent="0.2">
      <c r="A14" s="4">
        <v>1400</v>
      </c>
      <c r="B14" s="5">
        <f t="shared" si="0"/>
        <v>1126.8499999999999</v>
      </c>
      <c r="C14" s="6">
        <v>-166.00868846614819</v>
      </c>
      <c r="D14" s="6">
        <v>-49.766686918774852</v>
      </c>
      <c r="E14" s="6">
        <f t="shared" si="1"/>
        <v>-116.24200154737333</v>
      </c>
      <c r="F14" s="18">
        <f t="shared" si="2"/>
        <v>29.978362806548571</v>
      </c>
    </row>
    <row r="15" spans="1:6" x14ac:dyDescent="0.2">
      <c r="A15" s="8">
        <v>1450</v>
      </c>
      <c r="B15" s="9">
        <f t="shared" si="0"/>
        <v>1176.8499999999999</v>
      </c>
      <c r="C15" s="10">
        <v>-157.5645635551985</v>
      </c>
      <c r="D15" s="10">
        <v>-47.103749371410117</v>
      </c>
      <c r="E15" s="10">
        <f t="shared" si="1"/>
        <v>-110.46081418378839</v>
      </c>
      <c r="F15" s="19">
        <f t="shared" si="2"/>
        <v>29.894887726394508</v>
      </c>
    </row>
    <row r="16" spans="1:6" x14ac:dyDescent="0.2">
      <c r="A16" s="4">
        <v>1500</v>
      </c>
      <c r="B16" s="5">
        <f t="shared" si="0"/>
        <v>1226.8499999999999</v>
      </c>
      <c r="C16" s="6">
        <v>-149.60505906974461</v>
      </c>
      <c r="D16" s="6">
        <v>-44.936498585883527</v>
      </c>
      <c r="E16" s="6">
        <f t="shared" si="1"/>
        <v>-104.66856048386109</v>
      </c>
      <c r="F16" s="18">
        <f t="shared" si="2"/>
        <v>30.036750672271388</v>
      </c>
    </row>
    <row r="17" spans="1:6" x14ac:dyDescent="0.2">
      <c r="A17" s="8">
        <v>1550</v>
      </c>
      <c r="B17" s="9">
        <f t="shared" si="0"/>
        <v>1276.8499999999999</v>
      </c>
      <c r="C17" s="10">
        <v>-142.23488229793051</v>
      </c>
      <c r="D17" s="10">
        <v>-43.371562931551132</v>
      </c>
      <c r="E17" s="10">
        <f t="shared" si="1"/>
        <v>-98.863319366379386</v>
      </c>
      <c r="F17" s="19">
        <f t="shared" si="2"/>
        <v>30.492915824054634</v>
      </c>
    </row>
    <row r="18" spans="1:6" x14ac:dyDescent="0.2">
      <c r="A18" s="4">
        <v>1600</v>
      </c>
      <c r="B18" s="5">
        <f t="shared" si="0"/>
        <v>1326.85</v>
      </c>
      <c r="C18" s="6">
        <v>-135.50661616360981</v>
      </c>
      <c r="D18" s="6">
        <v>-42.463104072686981</v>
      </c>
      <c r="E18" s="6">
        <f t="shared" si="1"/>
        <v>-93.043512090922832</v>
      </c>
      <c r="F18" s="18">
        <f t="shared" si="2"/>
        <v>31.336554092249862</v>
      </c>
    </row>
    <row r="19" spans="1:6" x14ac:dyDescent="0.2">
      <c r="A19" s="8">
        <v>1650</v>
      </c>
      <c r="B19" s="9">
        <f t="shared" si="0"/>
        <v>1376.85</v>
      </c>
      <c r="C19" s="10">
        <v>-129.29344387955641</v>
      </c>
      <c r="D19" s="10">
        <v>-42.314671883697862</v>
      </c>
      <c r="E19" s="10">
        <f t="shared" si="1"/>
        <v>-86.978771995858551</v>
      </c>
      <c r="F19" s="19">
        <f t="shared" si="2"/>
        <v>32.727623778910392</v>
      </c>
    </row>
    <row r="20" spans="1:6" x14ac:dyDescent="0.2">
      <c r="A20" s="4">
        <v>1700</v>
      </c>
      <c r="B20" s="5">
        <f t="shared" si="0"/>
        <v>1426.85</v>
      </c>
      <c r="C20" s="6">
        <v>-122.2904987869768</v>
      </c>
      <c r="D20" s="6">
        <v>-43.191362621702488</v>
      </c>
      <c r="E20" s="6">
        <f t="shared" si="1"/>
        <v>-79.099136165274302</v>
      </c>
      <c r="F20" s="18">
        <f t="shared" si="2"/>
        <v>35.318657663617373</v>
      </c>
    </row>
    <row r="21" spans="1:6" x14ac:dyDescent="0.2">
      <c r="A21" s="8">
        <v>1750</v>
      </c>
      <c r="B21" s="9">
        <f t="shared" si="0"/>
        <v>1476.85</v>
      </c>
      <c r="C21" s="10">
        <v>-116.77672267132699</v>
      </c>
      <c r="D21" s="10">
        <v>-44.593639771125048</v>
      </c>
      <c r="E21" s="10">
        <f t="shared" si="1"/>
        <v>-72.183082900201953</v>
      </c>
      <c r="F21" s="19">
        <f t="shared" si="2"/>
        <v>38.18709649579371</v>
      </c>
    </row>
    <row r="22" spans="1:6" x14ac:dyDescent="0.2">
      <c r="A22" s="4">
        <v>1800</v>
      </c>
      <c r="B22" s="5">
        <f t="shared" si="0"/>
        <v>1526.85</v>
      </c>
      <c r="C22" s="6">
        <v>-111.8803016055257</v>
      </c>
      <c r="D22" s="6">
        <v>-45.669509581665977</v>
      </c>
      <c r="E22" s="6">
        <f t="shared" si="1"/>
        <v>-66.210792023859725</v>
      </c>
      <c r="F22" s="18">
        <f t="shared" si="2"/>
        <v>40.81997360240436</v>
      </c>
    </row>
    <row r="23" spans="1:6" x14ac:dyDescent="0.2">
      <c r="A23" s="8">
        <v>1850</v>
      </c>
      <c r="B23" s="9">
        <f t="shared" si="0"/>
        <v>1576.85</v>
      </c>
      <c r="C23" s="10">
        <v>-107.1792750143418</v>
      </c>
      <c r="D23" s="10">
        <v>-46.932599640956383</v>
      </c>
      <c r="E23" s="10">
        <f t="shared" si="1"/>
        <v>-60.246675373385415</v>
      </c>
      <c r="F23" s="19">
        <f t="shared" si="2"/>
        <v>43.788875820139921</v>
      </c>
    </row>
    <row r="24" spans="1:6" x14ac:dyDescent="0.2">
      <c r="A24" s="20">
        <v>1900</v>
      </c>
      <c r="B24" s="21">
        <f t="shared" si="0"/>
        <v>1626.85</v>
      </c>
      <c r="C24" s="22">
        <v>-102.6937816081345</v>
      </c>
      <c r="D24" s="22">
        <v>-46.715288993866878</v>
      </c>
      <c r="E24" s="22">
        <f t="shared" si="1"/>
        <v>-55.978492614267623</v>
      </c>
      <c r="F24" s="23">
        <f t="shared" si="2"/>
        <v>45.489890685032968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zoomScale="166" workbookViewId="0">
      <selection activeCell="E28" sqref="E28"/>
    </sheetView>
  </sheetViews>
  <sheetFormatPr baseColWidth="10" defaultColWidth="8.83203125" defaultRowHeight="15" x14ac:dyDescent="0.2"/>
  <cols>
    <col min="1" max="1" width="32" customWidth="1"/>
    <col min="2" max="2" width="14" customWidth="1"/>
    <col min="3" max="3" width="26" customWidth="1"/>
    <col min="4" max="4" width="25.5" bestFit="1" customWidth="1"/>
    <col min="5" max="5" width="17" customWidth="1"/>
    <col min="6" max="6" width="15" customWidth="1"/>
    <col min="7" max="7" width="30" customWidth="1"/>
    <col min="8" max="10" width="16" customWidth="1"/>
  </cols>
  <sheetData>
    <row r="1" spans="1:8" ht="16" x14ac:dyDescent="0.2">
      <c r="A1" s="72" t="s">
        <v>13</v>
      </c>
      <c r="B1" s="71"/>
      <c r="C1" s="71"/>
      <c r="D1" s="71"/>
      <c r="E1" s="71"/>
      <c r="F1" s="71"/>
      <c r="G1" s="71"/>
    </row>
    <row r="2" spans="1:8" x14ac:dyDescent="0.2">
      <c r="A2" s="24" t="s">
        <v>14</v>
      </c>
      <c r="B2" s="25" t="s">
        <v>15</v>
      </c>
      <c r="C2" s="25" t="s">
        <v>16</v>
      </c>
      <c r="D2" s="26" t="s">
        <v>17</v>
      </c>
    </row>
    <row r="3" spans="1:8" x14ac:dyDescent="0.2">
      <c r="A3" s="27" t="s">
        <v>18</v>
      </c>
      <c r="B3" s="28" t="s">
        <v>19</v>
      </c>
      <c r="C3" s="29">
        <v>3.0000000000000001E-3</v>
      </c>
      <c r="D3" s="30" t="s">
        <v>20</v>
      </c>
    </row>
    <row r="4" spans="1:8" x14ac:dyDescent="0.2">
      <c r="A4" s="31" t="s">
        <v>21</v>
      </c>
      <c r="B4" s="32" t="s">
        <v>22</v>
      </c>
      <c r="C4" s="33">
        <v>8.5</v>
      </c>
      <c r="D4" s="34" t="s">
        <v>23</v>
      </c>
    </row>
    <row r="5" spans="1:8" x14ac:dyDescent="0.2">
      <c r="A5" s="27" t="s">
        <v>24</v>
      </c>
      <c r="B5" s="28" t="s">
        <v>25</v>
      </c>
      <c r="C5" s="29">
        <f>C3*C4</f>
        <v>2.5500000000000002E-2</v>
      </c>
      <c r="D5" s="30" t="s">
        <v>26</v>
      </c>
    </row>
    <row r="6" spans="1:8" x14ac:dyDescent="0.2">
      <c r="A6" s="31" t="s">
        <v>27</v>
      </c>
      <c r="B6" s="32" t="s">
        <v>28</v>
      </c>
      <c r="C6" s="32">
        <v>1800</v>
      </c>
      <c r="D6" s="34" t="s">
        <v>29</v>
      </c>
    </row>
    <row r="7" spans="1:8" x14ac:dyDescent="0.2">
      <c r="A7" s="27" t="s">
        <v>30</v>
      </c>
      <c r="B7" s="28" t="s">
        <v>31</v>
      </c>
      <c r="C7" s="35">
        <v>8.3140000000000001</v>
      </c>
      <c r="D7" s="30" t="s">
        <v>32</v>
      </c>
    </row>
    <row r="8" spans="1:8" x14ac:dyDescent="0.2">
      <c r="A8" s="36" t="s">
        <v>33</v>
      </c>
      <c r="B8" s="37" t="s">
        <v>34</v>
      </c>
      <c r="C8" s="38">
        <f>-C7*C6*LN(C5)/1000</f>
        <v>54.908468528693092</v>
      </c>
      <c r="D8" s="39" t="s">
        <v>35</v>
      </c>
    </row>
    <row r="10" spans="1:8" ht="16" x14ac:dyDescent="0.2">
      <c r="A10" s="72" t="s">
        <v>36</v>
      </c>
      <c r="B10" s="71"/>
      <c r="C10" s="71"/>
      <c r="D10" s="71"/>
      <c r="E10" s="71"/>
      <c r="F10" s="71"/>
      <c r="G10" s="71"/>
      <c r="H10" s="71"/>
    </row>
    <row r="11" spans="1:8" x14ac:dyDescent="0.2">
      <c r="A11" s="1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3" t="s">
        <v>44</v>
      </c>
    </row>
    <row r="12" spans="1:8" x14ac:dyDescent="0.2">
      <c r="A12" s="4" t="s">
        <v>45</v>
      </c>
      <c r="B12" s="12" t="s">
        <v>46</v>
      </c>
      <c r="C12" s="12">
        <v>1</v>
      </c>
      <c r="D12" s="40">
        <v>-111.88</v>
      </c>
      <c r="E12" s="40">
        <f t="shared" ref="E12:E18" si="0">C12*$C$8</f>
        <v>54.908468528693092</v>
      </c>
      <c r="F12" s="40">
        <f t="shared" ref="F12:F18" si="1">D12+E12</f>
        <v>-56.971531471306903</v>
      </c>
      <c r="G12" s="12" t="str">
        <f t="shared" ref="G12:G18" si="2">IF(F12&lt;-10,"ROBUST",IF(F12&lt;0,"MARGINAL",IF(F12&lt;15,"UNCERTAIN","UNFAVORABLE")))</f>
        <v>ROBUST</v>
      </c>
      <c r="H12" s="41">
        <f t="shared" ref="H12:H18" si="3">D12/C12</f>
        <v>-111.88</v>
      </c>
    </row>
    <row r="13" spans="1:8" x14ac:dyDescent="0.2">
      <c r="A13" s="8" t="s">
        <v>47</v>
      </c>
      <c r="B13" s="13" t="s">
        <v>48</v>
      </c>
      <c r="C13" s="13">
        <v>1</v>
      </c>
      <c r="D13" s="42">
        <v>-64.44</v>
      </c>
      <c r="E13" s="42">
        <f t="shared" si="0"/>
        <v>54.908468528693092</v>
      </c>
      <c r="F13" s="42">
        <f t="shared" si="1"/>
        <v>-9.5315314713069057</v>
      </c>
      <c r="G13" s="13" t="str">
        <f t="shared" si="2"/>
        <v>MARGINAL</v>
      </c>
      <c r="H13" s="43">
        <f t="shared" si="3"/>
        <v>-64.44</v>
      </c>
    </row>
    <row r="14" spans="1:8" x14ac:dyDescent="0.2">
      <c r="A14" s="4" t="s">
        <v>49</v>
      </c>
      <c r="B14" s="12" t="s">
        <v>50</v>
      </c>
      <c r="C14" s="12">
        <v>1</v>
      </c>
      <c r="D14" s="40">
        <v>-47.71</v>
      </c>
      <c r="E14" s="40">
        <f t="shared" si="0"/>
        <v>54.908468528693092</v>
      </c>
      <c r="F14" s="40">
        <f t="shared" si="1"/>
        <v>7.1984685286930912</v>
      </c>
      <c r="G14" s="12" t="str">
        <f t="shared" si="2"/>
        <v>UNCERTAIN</v>
      </c>
      <c r="H14" s="41">
        <f t="shared" si="3"/>
        <v>-47.71</v>
      </c>
    </row>
    <row r="15" spans="1:8" x14ac:dyDescent="0.2">
      <c r="A15" s="8" t="s">
        <v>51</v>
      </c>
      <c r="B15" s="13" t="s">
        <v>52</v>
      </c>
      <c r="C15" s="13">
        <v>1</v>
      </c>
      <c r="D15" s="42">
        <v>-44.98</v>
      </c>
      <c r="E15" s="42">
        <f t="shared" si="0"/>
        <v>54.908468528693092</v>
      </c>
      <c r="F15" s="42">
        <f t="shared" si="1"/>
        <v>9.9284685286930952</v>
      </c>
      <c r="G15" s="13" t="str">
        <f t="shared" si="2"/>
        <v>UNCERTAIN</v>
      </c>
      <c r="H15" s="43">
        <f t="shared" si="3"/>
        <v>-44.98</v>
      </c>
    </row>
    <row r="16" spans="1:8" x14ac:dyDescent="0.2">
      <c r="A16" s="4" t="s">
        <v>53</v>
      </c>
      <c r="B16" s="12" t="s">
        <v>54</v>
      </c>
      <c r="C16" s="12">
        <v>1</v>
      </c>
      <c r="D16" s="40">
        <v>-32.31</v>
      </c>
      <c r="E16" s="40">
        <f t="shared" si="0"/>
        <v>54.908468528693092</v>
      </c>
      <c r="F16" s="40">
        <f t="shared" si="1"/>
        <v>22.59846852869309</v>
      </c>
      <c r="G16" s="12" t="str">
        <f t="shared" si="2"/>
        <v>UNFAVORABLE</v>
      </c>
      <c r="H16" s="41">
        <f t="shared" si="3"/>
        <v>-32.31</v>
      </c>
    </row>
    <row r="17" spans="1:10" x14ac:dyDescent="0.2">
      <c r="A17" s="8" t="s">
        <v>55</v>
      </c>
      <c r="B17" s="13" t="s">
        <v>52</v>
      </c>
      <c r="C17" s="13">
        <v>3</v>
      </c>
      <c r="D17" s="42">
        <v>-109.15</v>
      </c>
      <c r="E17" s="42">
        <f t="shared" si="0"/>
        <v>164.72540558607926</v>
      </c>
      <c r="F17" s="42">
        <f t="shared" si="1"/>
        <v>55.575405586079256</v>
      </c>
      <c r="G17" s="13" t="str">
        <f t="shared" si="2"/>
        <v>UNFAVORABLE</v>
      </c>
      <c r="H17" s="43">
        <f t="shared" si="3"/>
        <v>-36.383333333333333</v>
      </c>
    </row>
    <row r="18" spans="1:10" x14ac:dyDescent="0.2">
      <c r="A18" s="20" t="s">
        <v>56</v>
      </c>
      <c r="B18" s="44" t="s">
        <v>57</v>
      </c>
      <c r="C18" s="44">
        <v>2</v>
      </c>
      <c r="D18" s="45">
        <v>-52.21</v>
      </c>
      <c r="E18" s="45">
        <f t="shared" si="0"/>
        <v>109.81693705738618</v>
      </c>
      <c r="F18" s="45">
        <f t="shared" si="1"/>
        <v>57.606937057386183</v>
      </c>
      <c r="G18" s="44" t="str">
        <f t="shared" si="2"/>
        <v>UNFAVORABLE</v>
      </c>
      <c r="H18" s="46">
        <f t="shared" si="3"/>
        <v>-26.105</v>
      </c>
    </row>
    <row r="20" spans="1:10" ht="16" x14ac:dyDescent="0.2">
      <c r="A20" s="72" t="s">
        <v>58</v>
      </c>
      <c r="B20" s="71"/>
      <c r="C20" s="71"/>
      <c r="D20" s="71"/>
      <c r="E20" s="71"/>
      <c r="F20" s="71"/>
      <c r="G20" s="71"/>
      <c r="H20" s="71"/>
    </row>
    <row r="21" spans="1:10" x14ac:dyDescent="0.2">
      <c r="A21" s="70" t="s">
        <v>59</v>
      </c>
      <c r="B21" s="71"/>
      <c r="C21" s="71"/>
      <c r="D21" s="71"/>
      <c r="E21" s="71"/>
      <c r="F21" s="71"/>
      <c r="G21" s="71"/>
      <c r="H21" s="71"/>
    </row>
    <row r="22" spans="1:10" x14ac:dyDescent="0.2">
      <c r="A22" s="1" t="s">
        <v>22</v>
      </c>
      <c r="B22" s="2" t="s">
        <v>25</v>
      </c>
      <c r="C22" s="2" t="s">
        <v>60</v>
      </c>
      <c r="D22" s="2" t="s">
        <v>61</v>
      </c>
      <c r="E22" s="2" t="s">
        <v>62</v>
      </c>
      <c r="F22" s="2" t="s">
        <v>63</v>
      </c>
      <c r="G22" s="2" t="s">
        <v>64</v>
      </c>
      <c r="H22" s="2" t="s">
        <v>65</v>
      </c>
      <c r="I22" s="2" t="s">
        <v>66</v>
      </c>
      <c r="J22" s="3" t="s">
        <v>67</v>
      </c>
    </row>
    <row r="23" spans="1:10" x14ac:dyDescent="0.2">
      <c r="A23" s="47">
        <v>3</v>
      </c>
      <c r="B23" s="48">
        <f t="shared" ref="B23:B35" si="4">A23*$C$3</f>
        <v>9.0000000000000011E-3</v>
      </c>
      <c r="C23" s="49">
        <f t="shared" ref="C23:C35" si="5">-$C$7*$C$6*LN(B23)/1000</f>
        <v>70.494034056271488</v>
      </c>
      <c r="D23" s="40">
        <f t="shared" ref="D23:D35" si="6">-111.88+1*C23</f>
        <v>-41.385965943728507</v>
      </c>
      <c r="E23" s="40">
        <f t="shared" ref="E23:E35" si="7">-64.44+1*C23</f>
        <v>6.0540340562714903</v>
      </c>
      <c r="F23" s="40">
        <f t="shared" ref="F23:F35" si="8">-47.71+1*C23</f>
        <v>22.784034056271487</v>
      </c>
      <c r="G23" s="40">
        <f t="shared" ref="G23:G35" si="9">-44.98+1*C23</f>
        <v>25.514034056271491</v>
      </c>
      <c r="H23" s="40">
        <f t="shared" ref="H23:H35" si="10">-32.31+1*C23</f>
        <v>38.184034056271486</v>
      </c>
      <c r="I23" s="40">
        <f t="shared" ref="I23:I35" si="11">-109.15+3*C23</f>
        <v>102.33210216881446</v>
      </c>
      <c r="J23" s="41">
        <f t="shared" ref="J23:J35" si="12">-52.21+2*C23</f>
        <v>88.778068112542968</v>
      </c>
    </row>
    <row r="24" spans="1:10" x14ac:dyDescent="0.2">
      <c r="A24" s="50">
        <v>4</v>
      </c>
      <c r="B24" s="51">
        <f t="shared" si="4"/>
        <v>1.2E-2</v>
      </c>
      <c r="C24" s="52">
        <f t="shared" si="5"/>
        <v>66.188814305616106</v>
      </c>
      <c r="D24" s="42">
        <f t="shared" si="6"/>
        <v>-45.69118569438389</v>
      </c>
      <c r="E24" s="42">
        <f t="shared" si="7"/>
        <v>1.7488143056161078</v>
      </c>
      <c r="F24" s="42">
        <f t="shared" si="8"/>
        <v>18.478814305616105</v>
      </c>
      <c r="G24" s="42">
        <f t="shared" si="9"/>
        <v>21.208814305616109</v>
      </c>
      <c r="H24" s="42">
        <f t="shared" si="10"/>
        <v>33.878814305616103</v>
      </c>
      <c r="I24" s="42">
        <f t="shared" si="11"/>
        <v>89.416442916848297</v>
      </c>
      <c r="J24" s="43">
        <f t="shared" si="12"/>
        <v>80.167628611232203</v>
      </c>
    </row>
    <row r="25" spans="1:10" x14ac:dyDescent="0.2">
      <c r="A25" s="47">
        <v>5</v>
      </c>
      <c r="B25" s="48">
        <f t="shared" si="4"/>
        <v>1.4999999999999999E-2</v>
      </c>
      <c r="C25" s="49">
        <f t="shared" si="5"/>
        <v>62.849426431488688</v>
      </c>
      <c r="D25" s="40">
        <f t="shared" si="6"/>
        <v>-49.030573568511308</v>
      </c>
      <c r="E25" s="40">
        <f t="shared" si="7"/>
        <v>-1.59057356851131</v>
      </c>
      <c r="F25" s="40">
        <f t="shared" si="8"/>
        <v>15.139426431488687</v>
      </c>
      <c r="G25" s="40">
        <f t="shared" si="9"/>
        <v>17.869426431488691</v>
      </c>
      <c r="H25" s="40">
        <f t="shared" si="10"/>
        <v>30.539426431488685</v>
      </c>
      <c r="I25" s="40">
        <f t="shared" si="11"/>
        <v>79.39827929446605</v>
      </c>
      <c r="J25" s="41">
        <f t="shared" si="12"/>
        <v>73.488852862977382</v>
      </c>
    </row>
    <row r="26" spans="1:10" x14ac:dyDescent="0.2">
      <c r="A26" s="50">
        <v>6</v>
      </c>
      <c r="B26" s="51">
        <f t="shared" si="4"/>
        <v>1.8000000000000002E-2</v>
      </c>
      <c r="C26" s="52">
        <f t="shared" si="5"/>
        <v>60.120947869755796</v>
      </c>
      <c r="D26" s="42">
        <f t="shared" si="6"/>
        <v>-51.7590521302442</v>
      </c>
      <c r="E26" s="42">
        <f t="shared" si="7"/>
        <v>-4.3190521302442022</v>
      </c>
      <c r="F26" s="42">
        <f t="shared" si="8"/>
        <v>12.410947869755795</v>
      </c>
      <c r="G26" s="42">
        <f t="shared" si="9"/>
        <v>15.140947869755799</v>
      </c>
      <c r="H26" s="42">
        <f t="shared" si="10"/>
        <v>27.810947869755793</v>
      </c>
      <c r="I26" s="42">
        <f t="shared" si="11"/>
        <v>71.212843609267367</v>
      </c>
      <c r="J26" s="43">
        <f t="shared" si="12"/>
        <v>68.031895739511583</v>
      </c>
    </row>
    <row r="27" spans="1:10" x14ac:dyDescent="0.2">
      <c r="A27" s="47">
        <v>7</v>
      </c>
      <c r="B27" s="48">
        <f t="shared" si="4"/>
        <v>2.1000000000000001E-2</v>
      </c>
      <c r="C27" s="49">
        <f t="shared" si="5"/>
        <v>57.814052116004909</v>
      </c>
      <c r="D27" s="40">
        <f t="shared" si="6"/>
        <v>-54.065947883995086</v>
      </c>
      <c r="E27" s="40">
        <f t="shared" si="7"/>
        <v>-6.6259478839950887</v>
      </c>
      <c r="F27" s="40">
        <f t="shared" si="8"/>
        <v>10.104052116004908</v>
      </c>
      <c r="G27" s="40">
        <f t="shared" si="9"/>
        <v>12.834052116004912</v>
      </c>
      <c r="H27" s="40">
        <f t="shared" si="10"/>
        <v>25.504052116004907</v>
      </c>
      <c r="I27" s="40">
        <f t="shared" si="11"/>
        <v>64.292156348014714</v>
      </c>
      <c r="J27" s="41">
        <f t="shared" si="12"/>
        <v>63.418104232009817</v>
      </c>
    </row>
    <row r="28" spans="1:10" x14ac:dyDescent="0.2">
      <c r="A28" s="50">
        <v>8</v>
      </c>
      <c r="B28" s="51">
        <f t="shared" si="4"/>
        <v>2.4E-2</v>
      </c>
      <c r="C28" s="52">
        <f t="shared" si="5"/>
        <v>55.815728119100406</v>
      </c>
      <c r="D28" s="42">
        <f t="shared" si="6"/>
        <v>-56.064271880899589</v>
      </c>
      <c r="E28" s="42">
        <f t="shared" si="7"/>
        <v>-8.6242718808995917</v>
      </c>
      <c r="F28" s="42">
        <f t="shared" si="8"/>
        <v>8.1057281191004051</v>
      </c>
      <c r="G28" s="42">
        <f t="shared" si="9"/>
        <v>10.835728119100409</v>
      </c>
      <c r="H28" s="42">
        <f t="shared" si="10"/>
        <v>23.505728119100404</v>
      </c>
      <c r="I28" s="42">
        <f t="shared" si="11"/>
        <v>58.297184357301205</v>
      </c>
      <c r="J28" s="43">
        <f t="shared" si="12"/>
        <v>59.421456238200811</v>
      </c>
    </row>
    <row r="29" spans="1:10" x14ac:dyDescent="0.2">
      <c r="A29" s="47">
        <v>8.5</v>
      </c>
      <c r="B29" s="48">
        <f t="shared" si="4"/>
        <v>2.5500000000000002E-2</v>
      </c>
      <c r="C29" s="49">
        <f t="shared" si="5"/>
        <v>54.908468528693092</v>
      </c>
      <c r="D29" s="40">
        <f t="shared" si="6"/>
        <v>-56.971531471306903</v>
      </c>
      <c r="E29" s="40">
        <f t="shared" si="7"/>
        <v>-9.5315314713069057</v>
      </c>
      <c r="F29" s="40">
        <f t="shared" si="8"/>
        <v>7.1984685286930912</v>
      </c>
      <c r="G29" s="40">
        <f t="shared" si="9"/>
        <v>9.9284685286930952</v>
      </c>
      <c r="H29" s="40">
        <f t="shared" si="10"/>
        <v>22.59846852869309</v>
      </c>
      <c r="I29" s="40">
        <f t="shared" si="11"/>
        <v>55.575405586079256</v>
      </c>
      <c r="J29" s="41">
        <f t="shared" si="12"/>
        <v>57.606937057386183</v>
      </c>
    </row>
    <row r="30" spans="1:10" x14ac:dyDescent="0.2">
      <c r="A30" s="50">
        <v>9</v>
      </c>
      <c r="B30" s="51">
        <f t="shared" si="4"/>
        <v>2.7E-2</v>
      </c>
      <c r="C30" s="52">
        <f t="shared" si="5"/>
        <v>54.053081433895493</v>
      </c>
      <c r="D30" s="42">
        <f t="shared" si="6"/>
        <v>-57.826918566104503</v>
      </c>
      <c r="E30" s="42">
        <f t="shared" si="7"/>
        <v>-10.386918566104505</v>
      </c>
      <c r="F30" s="42">
        <f t="shared" si="8"/>
        <v>6.3430814338954917</v>
      </c>
      <c r="G30" s="42">
        <f t="shared" si="9"/>
        <v>9.0730814338954957</v>
      </c>
      <c r="H30" s="42">
        <f t="shared" si="10"/>
        <v>21.74308143389549</v>
      </c>
      <c r="I30" s="42">
        <f t="shared" si="11"/>
        <v>53.009244301686465</v>
      </c>
      <c r="J30" s="43">
        <f t="shared" si="12"/>
        <v>55.896162867790984</v>
      </c>
    </row>
    <row r="31" spans="1:10" x14ac:dyDescent="0.2">
      <c r="A31" s="47">
        <v>10</v>
      </c>
      <c r="B31" s="48">
        <f t="shared" si="4"/>
        <v>0.03</v>
      </c>
      <c r="C31" s="49">
        <f t="shared" si="5"/>
        <v>52.476340244972988</v>
      </c>
      <c r="D31" s="40">
        <f t="shared" si="6"/>
        <v>-59.403659755027007</v>
      </c>
      <c r="E31" s="40">
        <f t="shared" si="7"/>
        <v>-11.96365975502701</v>
      </c>
      <c r="F31" s="40">
        <f t="shared" si="8"/>
        <v>4.7663402449729873</v>
      </c>
      <c r="G31" s="40">
        <f t="shared" si="9"/>
        <v>7.4963402449729912</v>
      </c>
      <c r="H31" s="40">
        <f t="shared" si="10"/>
        <v>20.166340244972986</v>
      </c>
      <c r="I31" s="40">
        <f t="shared" si="11"/>
        <v>48.279020734918959</v>
      </c>
      <c r="J31" s="41">
        <f t="shared" si="12"/>
        <v>52.742680489945975</v>
      </c>
    </row>
    <row r="32" spans="1:10" x14ac:dyDescent="0.2">
      <c r="A32" s="50">
        <v>11</v>
      </c>
      <c r="B32" s="51">
        <f t="shared" si="4"/>
        <v>3.3000000000000002E-2</v>
      </c>
      <c r="C32" s="52">
        <f t="shared" si="5"/>
        <v>51.050004342165309</v>
      </c>
      <c r="D32" s="42">
        <f t="shared" si="6"/>
        <v>-60.829995657834687</v>
      </c>
      <c r="E32" s="42">
        <f t="shared" si="7"/>
        <v>-13.389995657834689</v>
      </c>
      <c r="F32" s="42">
        <f t="shared" si="8"/>
        <v>3.3400043421653081</v>
      </c>
      <c r="G32" s="42">
        <f t="shared" si="9"/>
        <v>6.070004342165312</v>
      </c>
      <c r="H32" s="42">
        <f t="shared" si="10"/>
        <v>18.740004342165307</v>
      </c>
      <c r="I32" s="42">
        <f t="shared" si="11"/>
        <v>44.000013026495907</v>
      </c>
      <c r="J32" s="43">
        <f t="shared" si="12"/>
        <v>49.890008684330617</v>
      </c>
    </row>
    <row r="33" spans="1:10" x14ac:dyDescent="0.2">
      <c r="A33" s="47">
        <v>12</v>
      </c>
      <c r="B33" s="48">
        <f t="shared" si="4"/>
        <v>3.6000000000000004E-2</v>
      </c>
      <c r="C33" s="49">
        <f t="shared" si="5"/>
        <v>49.747861683240103</v>
      </c>
      <c r="D33" s="40">
        <f t="shared" si="6"/>
        <v>-62.132138316759892</v>
      </c>
      <c r="E33" s="40">
        <f t="shared" si="7"/>
        <v>-14.692138316759895</v>
      </c>
      <c r="F33" s="40">
        <f t="shared" si="8"/>
        <v>2.0378616832401022</v>
      </c>
      <c r="G33" s="40">
        <f t="shared" si="9"/>
        <v>4.7678616832401062</v>
      </c>
      <c r="H33" s="40">
        <f t="shared" si="10"/>
        <v>17.437861683240101</v>
      </c>
      <c r="I33" s="40">
        <f t="shared" si="11"/>
        <v>40.093585049720303</v>
      </c>
      <c r="J33" s="41">
        <f t="shared" si="12"/>
        <v>47.285723366480205</v>
      </c>
    </row>
    <row r="34" spans="1:10" x14ac:dyDescent="0.2">
      <c r="A34" s="50">
        <v>13</v>
      </c>
      <c r="B34" s="51">
        <f t="shared" si="4"/>
        <v>3.9E-2</v>
      </c>
      <c r="C34" s="52">
        <f t="shared" si="5"/>
        <v>48.550006554364096</v>
      </c>
      <c r="D34" s="42">
        <f t="shared" si="6"/>
        <v>-63.3299934456359</v>
      </c>
      <c r="E34" s="42">
        <f t="shared" si="7"/>
        <v>-15.889993445635902</v>
      </c>
      <c r="F34" s="42">
        <f t="shared" si="8"/>
        <v>0.84000655436409488</v>
      </c>
      <c r="G34" s="42">
        <f t="shared" si="9"/>
        <v>3.5700065543640989</v>
      </c>
      <c r="H34" s="42">
        <f t="shared" si="10"/>
        <v>16.240006554364093</v>
      </c>
      <c r="I34" s="42">
        <f t="shared" si="11"/>
        <v>36.500019663092274</v>
      </c>
      <c r="J34" s="43">
        <f t="shared" si="12"/>
        <v>44.890013108728191</v>
      </c>
    </row>
    <row r="35" spans="1:10" x14ac:dyDescent="0.2">
      <c r="A35" s="53">
        <v>15</v>
      </c>
      <c r="B35" s="54">
        <f t="shared" si="4"/>
        <v>4.4999999999999998E-2</v>
      </c>
      <c r="C35" s="55">
        <f t="shared" si="5"/>
        <v>46.408473809112685</v>
      </c>
      <c r="D35" s="45">
        <f t="shared" si="6"/>
        <v>-65.471526190887317</v>
      </c>
      <c r="E35" s="45">
        <f t="shared" si="7"/>
        <v>-18.031526190887313</v>
      </c>
      <c r="F35" s="45">
        <f t="shared" si="8"/>
        <v>-1.3015261908873157</v>
      </c>
      <c r="G35" s="45">
        <f t="shared" si="9"/>
        <v>1.4284738091126883</v>
      </c>
      <c r="H35" s="45">
        <f t="shared" si="10"/>
        <v>14.098473809112683</v>
      </c>
      <c r="I35" s="45">
        <f t="shared" si="11"/>
        <v>30.075421427338057</v>
      </c>
      <c r="J35" s="46">
        <f t="shared" si="12"/>
        <v>40.606947618225369</v>
      </c>
    </row>
    <row r="37" spans="1:10" x14ac:dyDescent="0.2">
      <c r="A37" s="70" t="s">
        <v>68</v>
      </c>
      <c r="B37" s="71"/>
      <c r="C37" s="71"/>
      <c r="D37" s="71"/>
      <c r="E37" s="71"/>
      <c r="F37" s="71"/>
      <c r="G37" s="71"/>
      <c r="H37" s="71"/>
    </row>
    <row r="38" spans="1:10" x14ac:dyDescent="0.2">
      <c r="A38" s="70" t="s">
        <v>69</v>
      </c>
      <c r="B38" s="71"/>
      <c r="C38" s="71"/>
      <c r="D38" s="71"/>
      <c r="E38" s="71"/>
      <c r="F38" s="71"/>
      <c r="G38" s="71"/>
      <c r="H38" s="71"/>
    </row>
  </sheetData>
  <mergeCells count="6">
    <mergeCell ref="A21:H21"/>
    <mergeCell ref="A1:G1"/>
    <mergeCell ref="A20:H20"/>
    <mergeCell ref="A38:H38"/>
    <mergeCell ref="A10:H10"/>
    <mergeCell ref="A37:H37"/>
  </mergeCells>
  <conditionalFormatting sqref="D23:J35">
    <cfRule type="cellIs" dxfId="3" priority="1" operator="lessThan">
      <formula>0</formula>
    </cfRule>
    <cfRule type="cellIs" dxfId="2" priority="2" operator="greaterThanOrEqual">
      <formula>0</formula>
    </cfRule>
  </conditionalFormatting>
  <conditionalFormatting sqref="F12:F18">
    <cfRule type="cellIs" dxfId="1" priority="15" operator="lessThan">
      <formula>0</formula>
    </cfRule>
    <cfRule type="cellIs" dxfId="0" priority="16" operator="greaterThanOrEqual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="227" workbookViewId="0"/>
  </sheetViews>
  <sheetFormatPr baseColWidth="10" defaultColWidth="8.83203125" defaultRowHeight="15" x14ac:dyDescent="0.2"/>
  <cols>
    <col min="1" max="1" width="9" customWidth="1"/>
    <col min="2" max="2" width="19" customWidth="1"/>
    <col min="3" max="3" width="13" customWidth="1"/>
    <col min="4" max="4" width="15" customWidth="1"/>
    <col min="5" max="5" width="10" customWidth="1"/>
  </cols>
  <sheetData>
    <row r="1" spans="1:5" x14ac:dyDescent="0.2">
      <c r="A1" s="1" t="s">
        <v>37</v>
      </c>
      <c r="B1" s="2" t="s">
        <v>70</v>
      </c>
      <c r="C1" s="2" t="s">
        <v>71</v>
      </c>
      <c r="D1" s="2" t="s">
        <v>72</v>
      </c>
      <c r="E1" s="3" t="s">
        <v>73</v>
      </c>
    </row>
    <row r="2" spans="1:5" x14ac:dyDescent="0.2">
      <c r="A2" s="4" t="s">
        <v>45</v>
      </c>
      <c r="B2" s="6">
        <f>dG_vs_T!C42</f>
        <v>-111.8803016055257</v>
      </c>
      <c r="C2" s="12" t="s">
        <v>74</v>
      </c>
      <c r="D2" s="12">
        <v>1700</v>
      </c>
      <c r="E2" s="56" t="s">
        <v>75</v>
      </c>
    </row>
    <row r="3" spans="1:5" x14ac:dyDescent="0.2">
      <c r="A3" s="8" t="s">
        <v>55</v>
      </c>
      <c r="B3" s="10">
        <f>dG_vs_T!D42</f>
        <v>-109.153739537538</v>
      </c>
      <c r="C3" s="13" t="s">
        <v>76</v>
      </c>
      <c r="D3" s="13" t="s">
        <v>77</v>
      </c>
      <c r="E3" s="57" t="s">
        <v>75</v>
      </c>
    </row>
    <row r="4" spans="1:5" x14ac:dyDescent="0.2">
      <c r="A4" s="4" t="s">
        <v>47</v>
      </c>
      <c r="B4" s="6">
        <f>dG_vs_T!E42</f>
        <v>-64.442551778858061</v>
      </c>
      <c r="C4" s="12" t="s">
        <v>74</v>
      </c>
      <c r="D4" s="12">
        <v>1700</v>
      </c>
      <c r="E4" s="56" t="s">
        <v>75</v>
      </c>
    </row>
    <row r="5" spans="1:5" x14ac:dyDescent="0.2">
      <c r="A5" s="8" t="s">
        <v>56</v>
      </c>
      <c r="B5" s="10">
        <f>dG_vs_T!F42</f>
        <v>-52.214203866023801</v>
      </c>
      <c r="C5" s="13" t="s">
        <v>76</v>
      </c>
      <c r="D5" s="13" t="s">
        <v>77</v>
      </c>
      <c r="E5" s="57" t="s">
        <v>75</v>
      </c>
    </row>
    <row r="6" spans="1:5" x14ac:dyDescent="0.2">
      <c r="A6" s="4" t="s">
        <v>49</v>
      </c>
      <c r="B6" s="6">
        <f>dG_vs_T!G42</f>
        <v>-47.711524490325708</v>
      </c>
      <c r="C6" s="12" t="s">
        <v>78</v>
      </c>
      <c r="D6" s="12">
        <v>1300</v>
      </c>
      <c r="E6" s="56" t="s">
        <v>75</v>
      </c>
    </row>
    <row r="7" spans="1:5" x14ac:dyDescent="0.2">
      <c r="A7" s="58" t="s">
        <v>53</v>
      </c>
      <c r="B7" s="16">
        <f>dG_vs_T!H42</f>
        <v>-32.314512163001581</v>
      </c>
      <c r="C7" s="15" t="s">
        <v>74</v>
      </c>
      <c r="D7" s="15">
        <v>1550</v>
      </c>
      <c r="E7" s="59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zoomScale="143" workbookViewId="0"/>
  </sheetViews>
  <sheetFormatPr baseColWidth="10" defaultColWidth="8.83203125" defaultRowHeight="15" x14ac:dyDescent="0.2"/>
  <cols>
    <col min="1" max="1" width="12" customWidth="1"/>
    <col min="2" max="3" width="13" customWidth="1"/>
    <col min="4" max="4" width="23" customWidth="1"/>
    <col min="5" max="5" width="35.6640625" bestFit="1" customWidth="1"/>
    <col min="6" max="6" width="24" customWidth="1"/>
  </cols>
  <sheetData>
    <row r="1" spans="1:6" x14ac:dyDescent="0.2">
      <c r="A1" s="1" t="s">
        <v>80</v>
      </c>
      <c r="B1" s="2" t="s">
        <v>81</v>
      </c>
      <c r="C1" s="2" t="s">
        <v>82</v>
      </c>
      <c r="D1" s="2" t="s">
        <v>25</v>
      </c>
      <c r="E1" s="2" t="s">
        <v>83</v>
      </c>
      <c r="F1" s="3" t="s">
        <v>84</v>
      </c>
    </row>
    <row r="2" spans="1:6" x14ac:dyDescent="0.2">
      <c r="A2" s="4" t="s">
        <v>85</v>
      </c>
      <c r="B2" s="12" t="s">
        <v>86</v>
      </c>
      <c r="C2" s="60">
        <v>0.2</v>
      </c>
      <c r="D2" s="61">
        <v>6.0242871951351486E-4</v>
      </c>
      <c r="E2" s="12" t="s">
        <v>87</v>
      </c>
      <c r="F2" s="7">
        <v>0</v>
      </c>
    </row>
    <row r="3" spans="1:6" x14ac:dyDescent="0.2">
      <c r="A3" s="4" t="s">
        <v>85</v>
      </c>
      <c r="B3" s="12" t="s">
        <v>86</v>
      </c>
      <c r="C3" s="60">
        <v>0.4</v>
      </c>
      <c r="D3" s="61">
        <v>5.9216466825453727E-4</v>
      </c>
      <c r="E3" s="12" t="s">
        <v>88</v>
      </c>
      <c r="F3" s="7">
        <f t="shared" ref="F3:F16" si="0">(D3-D$2)/D$2*100</f>
        <v>-1.7037785428400929</v>
      </c>
    </row>
    <row r="4" spans="1:6" x14ac:dyDescent="0.2">
      <c r="A4" s="4" t="s">
        <v>85</v>
      </c>
      <c r="B4" s="12" t="s">
        <v>86</v>
      </c>
      <c r="C4" s="60">
        <v>0.6</v>
      </c>
      <c r="D4" s="61">
        <v>5.849859614188124E-4</v>
      </c>
      <c r="E4" s="12" t="s">
        <v>88</v>
      </c>
      <c r="F4" s="7">
        <f t="shared" si="0"/>
        <v>-2.895406133490479</v>
      </c>
    </row>
    <row r="5" spans="1:6" x14ac:dyDescent="0.2">
      <c r="A5" s="4" t="s">
        <v>85</v>
      </c>
      <c r="B5" s="12" t="s">
        <v>86</v>
      </c>
      <c r="C5" s="60">
        <v>0.8</v>
      </c>
      <c r="D5" s="61">
        <v>5.7955787091343519E-4</v>
      </c>
      <c r="E5" s="12" t="s">
        <v>88</v>
      </c>
      <c r="F5" s="7">
        <f t="shared" si="0"/>
        <v>-3.7964406176632459</v>
      </c>
    </row>
    <row r="6" spans="1:6" x14ac:dyDescent="0.2">
      <c r="A6" s="4" t="s">
        <v>85</v>
      </c>
      <c r="B6" s="12" t="s">
        <v>86</v>
      </c>
      <c r="C6" s="60">
        <v>1</v>
      </c>
      <c r="D6" s="61">
        <v>5.7475403197106882E-4</v>
      </c>
      <c r="E6" s="12" t="s">
        <v>89</v>
      </c>
      <c r="F6" s="7">
        <f t="shared" si="0"/>
        <v>-4.5938526245552254</v>
      </c>
    </row>
    <row r="7" spans="1:6" x14ac:dyDescent="0.2">
      <c r="A7" s="4" t="s">
        <v>85</v>
      </c>
      <c r="B7" s="12" t="s">
        <v>86</v>
      </c>
      <c r="C7" s="60">
        <v>1.2</v>
      </c>
      <c r="D7" s="61">
        <v>5.6900861006505855E-4</v>
      </c>
      <c r="E7" s="12" t="s">
        <v>89</v>
      </c>
      <c r="F7" s="7">
        <f t="shared" si="0"/>
        <v>-5.5475624527735619</v>
      </c>
    </row>
    <row r="8" spans="1:6" x14ac:dyDescent="0.2">
      <c r="A8" s="4" t="s">
        <v>85</v>
      </c>
      <c r="B8" s="12" t="s">
        <v>86</v>
      </c>
      <c r="C8" s="60">
        <v>1.4</v>
      </c>
      <c r="D8" s="61">
        <v>5.6239917263930031E-4</v>
      </c>
      <c r="E8" s="12" t="s">
        <v>90</v>
      </c>
      <c r="F8" s="7">
        <f t="shared" si="0"/>
        <v>-6.6446943144642905</v>
      </c>
    </row>
    <row r="9" spans="1:6" x14ac:dyDescent="0.2">
      <c r="A9" s="4" t="s">
        <v>85</v>
      </c>
      <c r="B9" s="12" t="s">
        <v>86</v>
      </c>
      <c r="C9" s="60">
        <v>1.6</v>
      </c>
      <c r="D9" s="61">
        <v>5.5496460487694857E-4</v>
      </c>
      <c r="E9" s="12" t="s">
        <v>89</v>
      </c>
      <c r="F9" s="7">
        <f t="shared" si="0"/>
        <v>-7.8787934736736078</v>
      </c>
    </row>
    <row r="10" spans="1:6" x14ac:dyDescent="0.2">
      <c r="A10" s="4" t="s">
        <v>85</v>
      </c>
      <c r="B10" s="12" t="s">
        <v>86</v>
      </c>
      <c r="C10" s="60">
        <v>1.8</v>
      </c>
      <c r="D10" s="61">
        <v>5.4696204534553691E-4</v>
      </c>
      <c r="E10" s="12" t="s">
        <v>89</v>
      </c>
      <c r="F10" s="7">
        <f t="shared" si="0"/>
        <v>-9.2071762801696266</v>
      </c>
    </row>
    <row r="11" spans="1:6" x14ac:dyDescent="0.2">
      <c r="A11" s="4" t="s">
        <v>85</v>
      </c>
      <c r="B11" s="12" t="s">
        <v>86</v>
      </c>
      <c r="C11" s="60">
        <v>2</v>
      </c>
      <c r="D11" s="61">
        <v>5.3863749106154008E-4</v>
      </c>
      <c r="E11" s="12" t="s">
        <v>89</v>
      </c>
      <c r="F11" s="7">
        <f t="shared" si="0"/>
        <v>-10.589008522616375</v>
      </c>
    </row>
    <row r="12" spans="1:6" x14ac:dyDescent="0.2">
      <c r="A12" s="4" t="s">
        <v>85</v>
      </c>
      <c r="B12" s="12" t="s">
        <v>86</v>
      </c>
      <c r="C12" s="60">
        <v>2.2000000000000002</v>
      </c>
      <c r="D12" s="61">
        <v>5.3023959568350237E-4</v>
      </c>
      <c r="E12" s="12" t="s">
        <v>90</v>
      </c>
      <c r="F12" s="7">
        <f t="shared" si="0"/>
        <v>-11.98301500106238</v>
      </c>
    </row>
    <row r="13" spans="1:6" x14ac:dyDescent="0.2">
      <c r="A13" s="4" t="s">
        <v>85</v>
      </c>
      <c r="B13" s="12" t="s">
        <v>86</v>
      </c>
      <c r="C13" s="60">
        <v>2.4</v>
      </c>
      <c r="D13" s="61">
        <v>5.2201662397644369E-4</v>
      </c>
      <c r="E13" s="12" t="s">
        <v>89</v>
      </c>
      <c r="F13" s="7">
        <f t="shared" si="0"/>
        <v>-13.347985069836502</v>
      </c>
    </row>
    <row r="14" spans="1:6" x14ac:dyDescent="0.2">
      <c r="A14" s="4" t="s">
        <v>85</v>
      </c>
      <c r="B14" s="12" t="s">
        <v>86</v>
      </c>
      <c r="C14" s="60">
        <v>2.6</v>
      </c>
      <c r="D14" s="61">
        <v>5.1417312152644834E-4</v>
      </c>
      <c r="E14" s="12" t="s">
        <v>89</v>
      </c>
      <c r="F14" s="7">
        <f t="shared" si="0"/>
        <v>-14.649965237104967</v>
      </c>
    </row>
    <row r="15" spans="1:6" x14ac:dyDescent="0.2">
      <c r="A15" s="4" t="s">
        <v>85</v>
      </c>
      <c r="B15" s="12" t="s">
        <v>86</v>
      </c>
      <c r="C15" s="60">
        <v>2.8</v>
      </c>
      <c r="D15" s="61">
        <v>5.06844968432079E-4</v>
      </c>
      <c r="E15" s="12" t="s">
        <v>90</v>
      </c>
      <c r="F15" s="7">
        <f t="shared" si="0"/>
        <v>-15.866400120934399</v>
      </c>
    </row>
    <row r="16" spans="1:6" x14ac:dyDescent="0.2">
      <c r="A16" s="4" t="s">
        <v>85</v>
      </c>
      <c r="B16" s="12" t="s">
        <v>86</v>
      </c>
      <c r="C16" s="60">
        <v>3</v>
      </c>
      <c r="D16" s="61">
        <v>5.0010457246866115E-4</v>
      </c>
      <c r="E16" s="12" t="s">
        <v>90</v>
      </c>
      <c r="F16" s="7">
        <f t="shared" si="0"/>
        <v>-16.9852704113251</v>
      </c>
    </row>
    <row r="17" spans="1:6" x14ac:dyDescent="0.2">
      <c r="A17" s="8" t="s">
        <v>91</v>
      </c>
      <c r="B17" s="13" t="s">
        <v>92</v>
      </c>
      <c r="C17" s="62">
        <v>0.2</v>
      </c>
      <c r="D17" s="63">
        <v>6.2385951356104985E-4</v>
      </c>
      <c r="E17" s="13" t="s">
        <v>93</v>
      </c>
      <c r="F17" s="11">
        <v>0</v>
      </c>
    </row>
    <row r="18" spans="1:6" x14ac:dyDescent="0.2">
      <c r="A18" s="8" t="s">
        <v>91</v>
      </c>
      <c r="B18" s="13" t="s">
        <v>92</v>
      </c>
      <c r="C18" s="62">
        <v>0.4</v>
      </c>
      <c r="D18" s="63">
        <v>6.2385951356104985E-4</v>
      </c>
      <c r="E18" s="13" t="s">
        <v>93</v>
      </c>
      <c r="F18" s="11">
        <f t="shared" ref="F18:F31" si="1">(D18-D$17)/D$17*100</f>
        <v>0</v>
      </c>
    </row>
    <row r="19" spans="1:6" x14ac:dyDescent="0.2">
      <c r="A19" s="8" t="s">
        <v>91</v>
      </c>
      <c r="B19" s="13" t="s">
        <v>92</v>
      </c>
      <c r="C19" s="62">
        <v>0.6</v>
      </c>
      <c r="D19" s="63">
        <v>6.2385951356105213E-4</v>
      </c>
      <c r="E19" s="13" t="s">
        <v>93</v>
      </c>
      <c r="F19" s="11">
        <f t="shared" si="1"/>
        <v>3.6495789720721363E-13</v>
      </c>
    </row>
    <row r="20" spans="1:6" x14ac:dyDescent="0.2">
      <c r="A20" s="8" t="s">
        <v>91</v>
      </c>
      <c r="B20" s="13" t="s">
        <v>92</v>
      </c>
      <c r="C20" s="62">
        <v>0.8</v>
      </c>
      <c r="D20" s="63">
        <v>6.2385951356105213E-4</v>
      </c>
      <c r="E20" s="13" t="s">
        <v>93</v>
      </c>
      <c r="F20" s="11">
        <f t="shared" si="1"/>
        <v>3.6495789720721363E-13</v>
      </c>
    </row>
    <row r="21" spans="1:6" x14ac:dyDescent="0.2">
      <c r="A21" s="8" t="s">
        <v>91</v>
      </c>
      <c r="B21" s="13" t="s">
        <v>92</v>
      </c>
      <c r="C21" s="62">
        <v>1</v>
      </c>
      <c r="D21" s="63">
        <v>6.2385951356105213E-4</v>
      </c>
      <c r="E21" s="13" t="s">
        <v>93</v>
      </c>
      <c r="F21" s="11">
        <f t="shared" si="1"/>
        <v>3.6495789720721363E-13</v>
      </c>
    </row>
    <row r="22" spans="1:6" x14ac:dyDescent="0.2">
      <c r="A22" s="8" t="s">
        <v>91</v>
      </c>
      <c r="B22" s="13" t="s">
        <v>92</v>
      </c>
      <c r="C22" s="62">
        <v>1.2</v>
      </c>
      <c r="D22" s="63">
        <v>6.2385951356105039E-4</v>
      </c>
      <c r="E22" s="13" t="s">
        <v>93</v>
      </c>
      <c r="F22" s="11">
        <f t="shared" si="1"/>
        <v>8.689473743028896E-14</v>
      </c>
    </row>
    <row r="23" spans="1:6" x14ac:dyDescent="0.2">
      <c r="A23" s="8" t="s">
        <v>91</v>
      </c>
      <c r="B23" s="13" t="s">
        <v>92</v>
      </c>
      <c r="C23" s="62">
        <v>1.4</v>
      </c>
      <c r="D23" s="63">
        <v>6.2385951356105039E-4</v>
      </c>
      <c r="E23" s="13" t="s">
        <v>93</v>
      </c>
      <c r="F23" s="11">
        <f t="shared" si="1"/>
        <v>8.689473743028896E-14</v>
      </c>
    </row>
    <row r="24" spans="1:6" x14ac:dyDescent="0.2">
      <c r="A24" s="8" t="s">
        <v>91</v>
      </c>
      <c r="B24" s="13" t="s">
        <v>92</v>
      </c>
      <c r="C24" s="62">
        <v>1.6</v>
      </c>
      <c r="D24" s="63">
        <v>6.2401100287085974E-4</v>
      </c>
      <c r="E24" s="13" t="s">
        <v>94</v>
      </c>
      <c r="F24" s="11">
        <f t="shared" si="1"/>
        <v>2.4282599931061057E-2</v>
      </c>
    </row>
    <row r="25" spans="1:6" x14ac:dyDescent="0.2">
      <c r="A25" s="8" t="s">
        <v>91</v>
      </c>
      <c r="B25" s="13" t="s">
        <v>92</v>
      </c>
      <c r="C25" s="62">
        <v>1.8</v>
      </c>
      <c r="D25" s="63">
        <v>6.2407643956849672E-4</v>
      </c>
      <c r="E25" s="13" t="s">
        <v>95</v>
      </c>
      <c r="F25" s="11">
        <f t="shared" si="1"/>
        <v>3.4771611674018453E-2</v>
      </c>
    </row>
    <row r="26" spans="1:6" x14ac:dyDescent="0.2">
      <c r="A26" s="8" t="s">
        <v>91</v>
      </c>
      <c r="B26" s="13" t="s">
        <v>92</v>
      </c>
      <c r="C26" s="62">
        <v>2</v>
      </c>
      <c r="D26" s="63">
        <v>6.2407643956849672E-4</v>
      </c>
      <c r="E26" s="13" t="s">
        <v>95</v>
      </c>
      <c r="F26" s="11">
        <f t="shared" si="1"/>
        <v>3.4771611674018453E-2</v>
      </c>
    </row>
    <row r="27" spans="1:6" x14ac:dyDescent="0.2">
      <c r="A27" s="8" t="s">
        <v>91</v>
      </c>
      <c r="B27" s="13" t="s">
        <v>92</v>
      </c>
      <c r="C27" s="62">
        <v>2.2000000000000002</v>
      </c>
      <c r="D27" s="63">
        <v>6.2407643956849564E-4</v>
      </c>
      <c r="E27" s="13" t="s">
        <v>95</v>
      </c>
      <c r="F27" s="11">
        <f t="shared" si="1"/>
        <v>3.4771611673844662E-2</v>
      </c>
    </row>
    <row r="28" spans="1:6" x14ac:dyDescent="0.2">
      <c r="A28" s="8" t="s">
        <v>91</v>
      </c>
      <c r="B28" s="13" t="s">
        <v>92</v>
      </c>
      <c r="C28" s="62">
        <v>2.4</v>
      </c>
      <c r="D28" s="63">
        <v>6.2407643956849672E-4</v>
      </c>
      <c r="E28" s="13" t="s">
        <v>95</v>
      </c>
      <c r="F28" s="11">
        <f t="shared" si="1"/>
        <v>3.4771611674018453E-2</v>
      </c>
    </row>
    <row r="29" spans="1:6" x14ac:dyDescent="0.2">
      <c r="A29" s="8" t="s">
        <v>91</v>
      </c>
      <c r="B29" s="13" t="s">
        <v>92</v>
      </c>
      <c r="C29" s="62">
        <v>2.6</v>
      </c>
      <c r="D29" s="63">
        <v>6.2407643956849672E-4</v>
      </c>
      <c r="E29" s="13" t="s">
        <v>95</v>
      </c>
      <c r="F29" s="11">
        <f t="shared" si="1"/>
        <v>3.4771611674018453E-2</v>
      </c>
    </row>
    <row r="30" spans="1:6" x14ac:dyDescent="0.2">
      <c r="A30" s="8" t="s">
        <v>91</v>
      </c>
      <c r="B30" s="13" t="s">
        <v>92</v>
      </c>
      <c r="C30" s="62">
        <v>2.8</v>
      </c>
      <c r="D30" s="63">
        <v>6.2407643956849726E-4</v>
      </c>
      <c r="E30" s="13" t="s">
        <v>95</v>
      </c>
      <c r="F30" s="11">
        <f t="shared" si="1"/>
        <v>3.4771611674105349E-2</v>
      </c>
    </row>
    <row r="31" spans="1:6" x14ac:dyDescent="0.2">
      <c r="A31" s="58" t="s">
        <v>91</v>
      </c>
      <c r="B31" s="15" t="s">
        <v>92</v>
      </c>
      <c r="C31" s="64">
        <v>3</v>
      </c>
      <c r="D31" s="65">
        <v>6.2407643956849726E-4</v>
      </c>
      <c r="E31" s="15" t="s">
        <v>95</v>
      </c>
      <c r="F31" s="17">
        <f t="shared" si="1"/>
        <v>3.4771611674105349E-2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1"/>
  <sheetViews>
    <sheetView zoomScale="150" workbookViewId="0"/>
  </sheetViews>
  <sheetFormatPr baseColWidth="10" defaultColWidth="8.83203125" defaultRowHeight="15" x14ac:dyDescent="0.2"/>
  <cols>
    <col min="1" max="1" width="9" customWidth="1"/>
    <col min="2" max="3" width="8" customWidth="1"/>
    <col min="4" max="6" width="10" customWidth="1"/>
    <col min="7" max="7" width="24" customWidth="1"/>
    <col min="8" max="8" width="30" customWidth="1"/>
  </cols>
  <sheetData>
    <row r="1" spans="1:8" x14ac:dyDescent="0.2">
      <c r="A1" s="1" t="s">
        <v>80</v>
      </c>
      <c r="B1" s="2" t="s">
        <v>96</v>
      </c>
      <c r="C1" s="2" t="s">
        <v>0</v>
      </c>
      <c r="D1" s="2" t="s">
        <v>19</v>
      </c>
      <c r="E1" s="2" t="s">
        <v>97</v>
      </c>
      <c r="F1" s="2" t="s">
        <v>98</v>
      </c>
      <c r="G1" s="2" t="s">
        <v>25</v>
      </c>
      <c r="H1" s="3" t="s">
        <v>83</v>
      </c>
    </row>
    <row r="2" spans="1:8" x14ac:dyDescent="0.2">
      <c r="A2" s="4" t="s">
        <v>99</v>
      </c>
      <c r="B2" s="12" t="s">
        <v>54</v>
      </c>
      <c r="C2" s="12">
        <v>1800</v>
      </c>
      <c r="D2" s="66">
        <v>0.9</v>
      </c>
      <c r="E2" s="66">
        <v>0.04</v>
      </c>
      <c r="F2" s="66">
        <v>0.06</v>
      </c>
      <c r="G2" s="61">
        <v>6.242415932771841E-4</v>
      </c>
      <c r="H2" s="56" t="s">
        <v>100</v>
      </c>
    </row>
    <row r="3" spans="1:8" x14ac:dyDescent="0.2">
      <c r="A3" s="4" t="s">
        <v>99</v>
      </c>
      <c r="B3" s="12" t="s">
        <v>54</v>
      </c>
      <c r="C3" s="12">
        <v>1800</v>
      </c>
      <c r="D3" s="66">
        <v>0.855263</v>
      </c>
      <c r="E3" s="66">
        <v>5.7895000000000002E-2</v>
      </c>
      <c r="F3" s="66">
        <v>8.6842000000000003E-2</v>
      </c>
      <c r="G3" s="61">
        <v>6.2424159327718301E-4</v>
      </c>
      <c r="H3" s="56" t="s">
        <v>100</v>
      </c>
    </row>
    <row r="4" spans="1:8" x14ac:dyDescent="0.2">
      <c r="A4" s="4" t="s">
        <v>99</v>
      </c>
      <c r="B4" s="12" t="s">
        <v>54</v>
      </c>
      <c r="C4" s="12">
        <v>1800</v>
      </c>
      <c r="D4" s="66">
        <v>0.81052599999999997</v>
      </c>
      <c r="E4" s="66">
        <v>7.5788999999999995E-2</v>
      </c>
      <c r="F4" s="66">
        <v>0.11368399999999999</v>
      </c>
      <c r="G4" s="61">
        <v>6.2424159327718355E-4</v>
      </c>
      <c r="H4" s="56" t="s">
        <v>100</v>
      </c>
    </row>
    <row r="5" spans="1:8" x14ac:dyDescent="0.2">
      <c r="A5" s="4" t="s">
        <v>99</v>
      </c>
      <c r="B5" s="12" t="s">
        <v>54</v>
      </c>
      <c r="C5" s="12">
        <v>1800</v>
      </c>
      <c r="D5" s="66">
        <v>0.76578900000000005</v>
      </c>
      <c r="E5" s="66">
        <v>9.3684000000000003E-2</v>
      </c>
      <c r="F5" s="66">
        <v>0.14052600000000001</v>
      </c>
      <c r="G5" s="61">
        <v>6.2424159327718355E-4</v>
      </c>
      <c r="H5" s="56" t="s">
        <v>100</v>
      </c>
    </row>
    <row r="6" spans="1:8" x14ac:dyDescent="0.2">
      <c r="A6" s="4" t="s">
        <v>99</v>
      </c>
      <c r="B6" s="12" t="s">
        <v>54</v>
      </c>
      <c r="C6" s="12">
        <v>1800</v>
      </c>
      <c r="D6" s="66">
        <v>0.72105300000000006</v>
      </c>
      <c r="E6" s="66">
        <v>0.111579</v>
      </c>
      <c r="F6" s="66">
        <v>0.16736799999999999</v>
      </c>
      <c r="G6" s="61">
        <v>6.2424159327718464E-4</v>
      </c>
      <c r="H6" s="56" t="s">
        <v>100</v>
      </c>
    </row>
    <row r="7" spans="1:8" x14ac:dyDescent="0.2">
      <c r="A7" s="4" t="s">
        <v>99</v>
      </c>
      <c r="B7" s="12" t="s">
        <v>54</v>
      </c>
      <c r="C7" s="12">
        <v>1800</v>
      </c>
      <c r="D7" s="66">
        <v>0.67631600000000003</v>
      </c>
      <c r="E7" s="66">
        <v>0.12947400000000001</v>
      </c>
      <c r="F7" s="66">
        <v>0.19421099999999999</v>
      </c>
      <c r="G7" s="61">
        <v>6.2424159327718355E-4</v>
      </c>
      <c r="H7" s="56" t="s">
        <v>100</v>
      </c>
    </row>
    <row r="8" spans="1:8" x14ac:dyDescent="0.2">
      <c r="A8" s="4" t="s">
        <v>99</v>
      </c>
      <c r="B8" s="12" t="s">
        <v>54</v>
      </c>
      <c r="C8" s="12">
        <v>1800</v>
      </c>
      <c r="D8" s="66">
        <v>0.631579</v>
      </c>
      <c r="E8" s="66">
        <v>0.147368</v>
      </c>
      <c r="F8" s="66">
        <v>0.221053</v>
      </c>
      <c r="G8" s="61">
        <v>6.2424159327718355E-4</v>
      </c>
      <c r="H8" s="56" t="s">
        <v>100</v>
      </c>
    </row>
    <row r="9" spans="1:8" x14ac:dyDescent="0.2">
      <c r="A9" s="4" t="s">
        <v>99</v>
      </c>
      <c r="B9" s="12" t="s">
        <v>54</v>
      </c>
      <c r="C9" s="12">
        <v>1800</v>
      </c>
      <c r="D9" s="66">
        <v>0.58684199999999997</v>
      </c>
      <c r="E9" s="66">
        <v>0.16526299999999999</v>
      </c>
      <c r="F9" s="66">
        <v>0.247895</v>
      </c>
      <c r="G9" s="61">
        <v>6.2424159327718355E-4</v>
      </c>
      <c r="H9" s="56" t="s">
        <v>100</v>
      </c>
    </row>
    <row r="10" spans="1:8" x14ac:dyDescent="0.2">
      <c r="A10" s="4" t="s">
        <v>99</v>
      </c>
      <c r="B10" s="12" t="s">
        <v>54</v>
      </c>
      <c r="C10" s="12">
        <v>1800</v>
      </c>
      <c r="D10" s="66">
        <v>0.54210499999999995</v>
      </c>
      <c r="E10" s="66">
        <v>0.18315799999999999</v>
      </c>
      <c r="F10" s="66">
        <v>0.27473700000000001</v>
      </c>
      <c r="G10" s="61">
        <v>6.2424159327718247E-4</v>
      </c>
      <c r="H10" s="56" t="s">
        <v>100</v>
      </c>
    </row>
    <row r="11" spans="1:8" x14ac:dyDescent="0.2">
      <c r="A11" s="4" t="s">
        <v>99</v>
      </c>
      <c r="B11" s="12" t="s">
        <v>54</v>
      </c>
      <c r="C11" s="12">
        <v>1800</v>
      </c>
      <c r="D11" s="66">
        <v>0.49736799999999998</v>
      </c>
      <c r="E11" s="66">
        <v>0.20105300000000001</v>
      </c>
      <c r="F11" s="66">
        <v>0.30157899999999999</v>
      </c>
      <c r="G11" s="61">
        <v>6.2424159327718355E-4</v>
      </c>
      <c r="H11" s="56" t="s">
        <v>100</v>
      </c>
    </row>
    <row r="12" spans="1:8" x14ac:dyDescent="0.2">
      <c r="A12" s="4" t="s">
        <v>99</v>
      </c>
      <c r="B12" s="12" t="s">
        <v>54</v>
      </c>
      <c r="C12" s="12">
        <v>1800</v>
      </c>
      <c r="D12" s="66">
        <v>0.45263199999999998</v>
      </c>
      <c r="E12" s="66">
        <v>0.218947</v>
      </c>
      <c r="F12" s="66">
        <v>0.32842100000000002</v>
      </c>
      <c r="G12" s="61">
        <v>6.2424159327718355E-4</v>
      </c>
      <c r="H12" s="56" t="s">
        <v>100</v>
      </c>
    </row>
    <row r="13" spans="1:8" x14ac:dyDescent="0.2">
      <c r="A13" s="4" t="s">
        <v>99</v>
      </c>
      <c r="B13" s="12" t="s">
        <v>54</v>
      </c>
      <c r="C13" s="12">
        <v>1800</v>
      </c>
      <c r="D13" s="66">
        <v>0.40789500000000001</v>
      </c>
      <c r="E13" s="66">
        <v>0.236842</v>
      </c>
      <c r="F13" s="66">
        <v>0.355263</v>
      </c>
      <c r="G13" s="61">
        <v>6.2424159327718301E-4</v>
      </c>
      <c r="H13" s="56" t="s">
        <v>100</v>
      </c>
    </row>
    <row r="14" spans="1:8" x14ac:dyDescent="0.2">
      <c r="A14" s="4" t="s">
        <v>99</v>
      </c>
      <c r="B14" s="12" t="s">
        <v>54</v>
      </c>
      <c r="C14" s="12">
        <v>1800</v>
      </c>
      <c r="D14" s="66">
        <v>0.36315799999999998</v>
      </c>
      <c r="E14" s="66">
        <v>0.25473699999999999</v>
      </c>
      <c r="F14" s="66">
        <v>0.38210499999999997</v>
      </c>
      <c r="G14" s="61">
        <v>6.2424159327718355E-4</v>
      </c>
      <c r="H14" s="56" t="s">
        <v>100</v>
      </c>
    </row>
    <row r="15" spans="1:8" x14ac:dyDescent="0.2">
      <c r="A15" s="4" t="s">
        <v>99</v>
      </c>
      <c r="B15" s="12" t="s">
        <v>54</v>
      </c>
      <c r="C15" s="12">
        <v>1800</v>
      </c>
      <c r="D15" s="66">
        <v>0.31842100000000001</v>
      </c>
      <c r="E15" s="66">
        <v>0.27263199999999999</v>
      </c>
      <c r="F15" s="66">
        <v>0.408947</v>
      </c>
      <c r="G15" s="61">
        <v>6.2424159327718464E-4</v>
      </c>
      <c r="H15" s="56" t="s">
        <v>100</v>
      </c>
    </row>
    <row r="16" spans="1:8" x14ac:dyDescent="0.2">
      <c r="A16" s="4" t="s">
        <v>99</v>
      </c>
      <c r="B16" s="12" t="s">
        <v>54</v>
      </c>
      <c r="C16" s="12">
        <v>1800</v>
      </c>
      <c r="D16" s="66">
        <v>0.27368399999999998</v>
      </c>
      <c r="E16" s="66">
        <v>0.29052600000000001</v>
      </c>
      <c r="F16" s="66">
        <v>0.43578899999999998</v>
      </c>
      <c r="G16" s="61">
        <v>6.2424159327718301E-4</v>
      </c>
      <c r="H16" s="56" t="s">
        <v>100</v>
      </c>
    </row>
    <row r="17" spans="1:8" x14ac:dyDescent="0.2">
      <c r="A17" s="4" t="s">
        <v>99</v>
      </c>
      <c r="B17" s="12" t="s">
        <v>54</v>
      </c>
      <c r="C17" s="12">
        <v>1800</v>
      </c>
      <c r="D17" s="66">
        <v>0.22894700000000001</v>
      </c>
      <c r="E17" s="66">
        <v>0.308421</v>
      </c>
      <c r="F17" s="66">
        <v>0.46263199999999999</v>
      </c>
      <c r="G17" s="61">
        <v>6.2424159327718247E-4</v>
      </c>
      <c r="H17" s="56" t="s">
        <v>100</v>
      </c>
    </row>
    <row r="18" spans="1:8" x14ac:dyDescent="0.2">
      <c r="A18" s="4" t="s">
        <v>99</v>
      </c>
      <c r="B18" s="12" t="s">
        <v>54</v>
      </c>
      <c r="C18" s="12">
        <v>1800</v>
      </c>
      <c r="D18" s="66">
        <v>0.18421100000000001</v>
      </c>
      <c r="E18" s="66">
        <v>0.32631599999999999</v>
      </c>
      <c r="F18" s="66">
        <v>0.48947400000000002</v>
      </c>
      <c r="G18" s="61">
        <v>6.2424159327718247E-4</v>
      </c>
      <c r="H18" s="56" t="s">
        <v>100</v>
      </c>
    </row>
    <row r="19" spans="1:8" x14ac:dyDescent="0.2">
      <c r="A19" s="4" t="s">
        <v>99</v>
      </c>
      <c r="B19" s="12" t="s">
        <v>54</v>
      </c>
      <c r="C19" s="12">
        <v>1800</v>
      </c>
      <c r="D19" s="66">
        <v>0.13947399999999999</v>
      </c>
      <c r="E19" s="66">
        <v>0.34421099999999999</v>
      </c>
      <c r="F19" s="66">
        <v>0.516316</v>
      </c>
      <c r="G19" s="61">
        <v>6.2424159327718301E-4</v>
      </c>
      <c r="H19" s="56" t="s">
        <v>100</v>
      </c>
    </row>
    <row r="20" spans="1:8" x14ac:dyDescent="0.2">
      <c r="A20" s="4" t="s">
        <v>99</v>
      </c>
      <c r="B20" s="12" t="s">
        <v>54</v>
      </c>
      <c r="C20" s="12">
        <v>1800</v>
      </c>
      <c r="D20" s="66">
        <v>9.4737000000000002E-2</v>
      </c>
      <c r="E20" s="66">
        <v>0.36210500000000001</v>
      </c>
      <c r="F20" s="66">
        <v>0.54315800000000003</v>
      </c>
      <c r="G20" s="61">
        <v>6.2424159327718247E-4</v>
      </c>
      <c r="H20" s="56" t="s">
        <v>100</v>
      </c>
    </row>
    <row r="21" spans="1:8" x14ac:dyDescent="0.2">
      <c r="A21" s="4" t="s">
        <v>99</v>
      </c>
      <c r="B21" s="12" t="s">
        <v>54</v>
      </c>
      <c r="C21" s="12">
        <v>1800</v>
      </c>
      <c r="D21" s="66">
        <v>0.05</v>
      </c>
      <c r="E21" s="66">
        <v>0.38</v>
      </c>
      <c r="F21" s="66">
        <v>0.56999999999999995</v>
      </c>
      <c r="G21" s="61">
        <v>6.242415932771841E-4</v>
      </c>
      <c r="H21" s="56" t="s">
        <v>100</v>
      </c>
    </row>
    <row r="22" spans="1:8" x14ac:dyDescent="0.2">
      <c r="A22" s="8" t="s">
        <v>101</v>
      </c>
      <c r="B22" s="13" t="s">
        <v>48</v>
      </c>
      <c r="C22" s="13">
        <v>1800</v>
      </c>
      <c r="D22" s="67">
        <v>0.9</v>
      </c>
      <c r="E22" s="67">
        <v>0.05</v>
      </c>
      <c r="F22" s="67">
        <v>0.05</v>
      </c>
      <c r="G22" s="63">
        <v>6.2344869827578113E-4</v>
      </c>
      <c r="H22" s="57" t="s">
        <v>102</v>
      </c>
    </row>
    <row r="23" spans="1:8" x14ac:dyDescent="0.2">
      <c r="A23" s="8" t="s">
        <v>101</v>
      </c>
      <c r="B23" s="13" t="s">
        <v>48</v>
      </c>
      <c r="C23" s="13">
        <v>1800</v>
      </c>
      <c r="D23" s="67">
        <v>0.855263</v>
      </c>
      <c r="E23" s="67">
        <v>7.2368000000000002E-2</v>
      </c>
      <c r="F23" s="67">
        <v>7.2368000000000002E-2</v>
      </c>
      <c r="G23" s="63">
        <v>6.2342406986979845E-4</v>
      </c>
      <c r="H23" s="57" t="s">
        <v>102</v>
      </c>
    </row>
    <row r="24" spans="1:8" x14ac:dyDescent="0.2">
      <c r="A24" s="8" t="s">
        <v>101</v>
      </c>
      <c r="B24" s="13" t="s">
        <v>48</v>
      </c>
      <c r="C24" s="13">
        <v>1800</v>
      </c>
      <c r="D24" s="67">
        <v>0.81052599999999997</v>
      </c>
      <c r="E24" s="67">
        <v>9.4737000000000002E-2</v>
      </c>
      <c r="F24" s="67">
        <v>9.4737000000000002E-2</v>
      </c>
      <c r="G24" s="63">
        <v>6.2339011370276403E-4</v>
      </c>
      <c r="H24" s="57" t="s">
        <v>102</v>
      </c>
    </row>
    <row r="25" spans="1:8" x14ac:dyDescent="0.2">
      <c r="A25" s="8" t="s">
        <v>101</v>
      </c>
      <c r="B25" s="13" t="s">
        <v>48</v>
      </c>
      <c r="C25" s="13">
        <v>1800</v>
      </c>
      <c r="D25" s="67">
        <v>0.76578900000000005</v>
      </c>
      <c r="E25" s="67">
        <v>0.117105</v>
      </c>
      <c r="F25" s="67">
        <v>0.117105</v>
      </c>
      <c r="G25" s="63">
        <v>6.2334650514597148E-4</v>
      </c>
      <c r="H25" s="57" t="s">
        <v>102</v>
      </c>
    </row>
    <row r="26" spans="1:8" x14ac:dyDescent="0.2">
      <c r="A26" s="8" t="s">
        <v>101</v>
      </c>
      <c r="B26" s="13" t="s">
        <v>48</v>
      </c>
      <c r="C26" s="13">
        <v>1800</v>
      </c>
      <c r="D26" s="67">
        <v>0.72105300000000006</v>
      </c>
      <c r="E26" s="67">
        <v>0.13947399999999999</v>
      </c>
      <c r="F26" s="67">
        <v>0.13947399999999999</v>
      </c>
      <c r="G26" s="63">
        <v>6.2329272605854533E-4</v>
      </c>
      <c r="H26" s="57" t="s">
        <v>102</v>
      </c>
    </row>
    <row r="27" spans="1:8" x14ac:dyDescent="0.2">
      <c r="A27" s="8" t="s">
        <v>101</v>
      </c>
      <c r="B27" s="13" t="s">
        <v>48</v>
      </c>
      <c r="C27" s="13">
        <v>1800</v>
      </c>
      <c r="D27" s="67">
        <v>0.67631600000000003</v>
      </c>
      <c r="E27" s="67">
        <v>0.16184200000000001</v>
      </c>
      <c r="F27" s="67">
        <v>0.16184200000000001</v>
      </c>
      <c r="G27" s="63">
        <v>6.2322799092427695E-4</v>
      </c>
      <c r="H27" s="57" t="s">
        <v>102</v>
      </c>
    </row>
    <row r="28" spans="1:8" x14ac:dyDescent="0.2">
      <c r="A28" s="8" t="s">
        <v>101</v>
      </c>
      <c r="B28" s="13" t="s">
        <v>48</v>
      </c>
      <c r="C28" s="13">
        <v>1800</v>
      </c>
      <c r="D28" s="67">
        <v>0.631579</v>
      </c>
      <c r="E28" s="67">
        <v>0.18421100000000001</v>
      </c>
      <c r="F28" s="67">
        <v>0.18421100000000001</v>
      </c>
      <c r="G28" s="63">
        <v>6.231511590811589E-4</v>
      </c>
      <c r="H28" s="57" t="s">
        <v>102</v>
      </c>
    </row>
    <row r="29" spans="1:8" x14ac:dyDescent="0.2">
      <c r="A29" s="8" t="s">
        <v>101</v>
      </c>
      <c r="B29" s="13" t="s">
        <v>48</v>
      </c>
      <c r="C29" s="13">
        <v>1800</v>
      </c>
      <c r="D29" s="67">
        <v>0.58684199999999997</v>
      </c>
      <c r="E29" s="67">
        <v>0.20657900000000001</v>
      </c>
      <c r="F29" s="67">
        <v>0.20657900000000001</v>
      </c>
      <c r="G29" s="63">
        <v>6.2306061928906419E-4</v>
      </c>
      <c r="H29" s="57" t="s">
        <v>102</v>
      </c>
    </row>
    <row r="30" spans="1:8" x14ac:dyDescent="0.2">
      <c r="A30" s="8" t="s">
        <v>101</v>
      </c>
      <c r="B30" s="13" t="s">
        <v>48</v>
      </c>
      <c r="C30" s="13">
        <v>1800</v>
      </c>
      <c r="D30" s="67">
        <v>0.54210499999999995</v>
      </c>
      <c r="E30" s="67">
        <v>0.22894700000000001</v>
      </c>
      <c r="F30" s="67">
        <v>0.22894700000000001</v>
      </c>
      <c r="G30" s="63">
        <v>6.2295412584695189E-4</v>
      </c>
      <c r="H30" s="57" t="s">
        <v>102</v>
      </c>
    </row>
    <row r="31" spans="1:8" x14ac:dyDescent="0.2">
      <c r="A31" s="8" t="s">
        <v>101</v>
      </c>
      <c r="B31" s="13" t="s">
        <v>48</v>
      </c>
      <c r="C31" s="13">
        <v>1800</v>
      </c>
      <c r="D31" s="67">
        <v>0.49736799999999998</v>
      </c>
      <c r="E31" s="67">
        <v>0.25131599999999998</v>
      </c>
      <c r="F31" s="67">
        <v>0.25131599999999998</v>
      </c>
      <c r="G31" s="63">
        <v>6.2282855313863664E-4</v>
      </c>
      <c r="H31" s="57" t="s">
        <v>102</v>
      </c>
    </row>
    <row r="32" spans="1:8" x14ac:dyDescent="0.2">
      <c r="A32" s="8" t="s">
        <v>101</v>
      </c>
      <c r="B32" s="13" t="s">
        <v>48</v>
      </c>
      <c r="C32" s="13">
        <v>1800</v>
      </c>
      <c r="D32" s="67">
        <v>0.45263199999999998</v>
      </c>
      <c r="E32" s="67">
        <v>0.27368399999999998</v>
      </c>
      <c r="F32" s="67">
        <v>0.27368399999999998</v>
      </c>
      <c r="G32" s="63">
        <v>6.2267951225567734E-4</v>
      </c>
      <c r="H32" s="57" t="s">
        <v>102</v>
      </c>
    </row>
    <row r="33" spans="1:8" x14ac:dyDescent="0.2">
      <c r="A33" s="8" t="s">
        <v>101</v>
      </c>
      <c r="B33" s="13" t="s">
        <v>48</v>
      </c>
      <c r="C33" s="13">
        <v>1800</v>
      </c>
      <c r="D33" s="67">
        <v>0.40789500000000001</v>
      </c>
      <c r="E33" s="67">
        <v>0.29605300000000001</v>
      </c>
      <c r="F33" s="67">
        <v>0.29605300000000001</v>
      </c>
      <c r="G33" s="63">
        <v>6.2250072755608299E-4</v>
      </c>
      <c r="H33" s="57" t="s">
        <v>102</v>
      </c>
    </row>
    <row r="34" spans="1:8" x14ac:dyDescent="0.2">
      <c r="A34" s="8" t="s">
        <v>101</v>
      </c>
      <c r="B34" s="13" t="s">
        <v>48</v>
      </c>
      <c r="C34" s="13">
        <v>1800</v>
      </c>
      <c r="D34" s="67">
        <v>0.36315799999999998</v>
      </c>
      <c r="E34" s="67">
        <v>0.31842100000000001</v>
      </c>
      <c r="F34" s="67">
        <v>0.31842100000000001</v>
      </c>
      <c r="G34" s="63">
        <v>6.2228297602723911E-4</v>
      </c>
      <c r="H34" s="57" t="s">
        <v>102</v>
      </c>
    </row>
    <row r="35" spans="1:8" x14ac:dyDescent="0.2">
      <c r="A35" s="8" t="s">
        <v>101</v>
      </c>
      <c r="B35" s="13" t="s">
        <v>48</v>
      </c>
      <c r="C35" s="13">
        <v>1800</v>
      </c>
      <c r="D35" s="67">
        <v>0.31842100000000001</v>
      </c>
      <c r="E35" s="67">
        <v>0.34078900000000001</v>
      </c>
      <c r="F35" s="67">
        <v>0.34078900000000001</v>
      </c>
      <c r="G35" s="63">
        <v>6.2201218196066715E-4</v>
      </c>
      <c r="H35" s="57" t="s">
        <v>102</v>
      </c>
    </row>
    <row r="36" spans="1:8" x14ac:dyDescent="0.2">
      <c r="A36" s="8" t="s">
        <v>101</v>
      </c>
      <c r="B36" s="13" t="s">
        <v>48</v>
      </c>
      <c r="C36" s="13">
        <v>1800</v>
      </c>
      <c r="D36" s="67">
        <v>0.27368399999999998</v>
      </c>
      <c r="E36" s="67">
        <v>0.36315799999999998</v>
      </c>
      <c r="F36" s="67">
        <v>0.36315799999999998</v>
      </c>
      <c r="G36" s="63">
        <v>6.2166575327547821E-4</v>
      </c>
      <c r="H36" s="57" t="s">
        <v>102</v>
      </c>
    </row>
    <row r="37" spans="1:8" x14ac:dyDescent="0.2">
      <c r="A37" s="8" t="s">
        <v>101</v>
      </c>
      <c r="B37" s="13" t="s">
        <v>48</v>
      </c>
      <c r="C37" s="13">
        <v>1800</v>
      </c>
      <c r="D37" s="67">
        <v>0.22894700000000001</v>
      </c>
      <c r="E37" s="67">
        <v>0.38552599999999998</v>
      </c>
      <c r="F37" s="67">
        <v>0.38552599999999998</v>
      </c>
      <c r="G37" s="63">
        <v>6.2120489184447315E-4</v>
      </c>
      <c r="H37" s="57" t="s">
        <v>102</v>
      </c>
    </row>
    <row r="38" spans="1:8" x14ac:dyDescent="0.2">
      <c r="A38" s="8" t="s">
        <v>101</v>
      </c>
      <c r="B38" s="13" t="s">
        <v>48</v>
      </c>
      <c r="C38" s="13">
        <v>1800</v>
      </c>
      <c r="D38" s="67">
        <v>0.18421100000000001</v>
      </c>
      <c r="E38" s="67">
        <v>0.40789500000000001</v>
      </c>
      <c r="F38" s="67">
        <v>0.40789500000000001</v>
      </c>
      <c r="G38" s="63">
        <v>6.2055644901388724E-4</v>
      </c>
      <c r="H38" s="57" t="s">
        <v>102</v>
      </c>
    </row>
    <row r="39" spans="1:8" x14ac:dyDescent="0.2">
      <c r="A39" s="8" t="s">
        <v>101</v>
      </c>
      <c r="B39" s="13" t="s">
        <v>48</v>
      </c>
      <c r="C39" s="13">
        <v>1800</v>
      </c>
      <c r="D39" s="67">
        <v>0.13947399999999999</v>
      </c>
      <c r="E39" s="67">
        <v>0.43026300000000001</v>
      </c>
      <c r="F39" s="67">
        <v>0.43026300000000001</v>
      </c>
      <c r="G39" s="63">
        <v>6.1956241031641316E-4</v>
      </c>
      <c r="H39" s="57" t="s">
        <v>102</v>
      </c>
    </row>
    <row r="40" spans="1:8" x14ac:dyDescent="0.2">
      <c r="A40" s="8" t="s">
        <v>101</v>
      </c>
      <c r="B40" s="13" t="s">
        <v>48</v>
      </c>
      <c r="C40" s="13">
        <v>1800</v>
      </c>
      <c r="D40" s="67">
        <v>9.4737000000000002E-2</v>
      </c>
      <c r="E40" s="67">
        <v>0.45263199999999998</v>
      </c>
      <c r="F40" s="67">
        <v>0.45263199999999998</v>
      </c>
      <c r="G40" s="63">
        <v>6.1779820992759259E-4</v>
      </c>
      <c r="H40" s="57" t="s">
        <v>102</v>
      </c>
    </row>
    <row r="41" spans="1:8" x14ac:dyDescent="0.2">
      <c r="A41" s="8" t="s">
        <v>101</v>
      </c>
      <c r="B41" s="13" t="s">
        <v>48</v>
      </c>
      <c r="C41" s="13">
        <v>1800</v>
      </c>
      <c r="D41" s="67">
        <v>0.05</v>
      </c>
      <c r="E41" s="67">
        <v>0.47499999999999998</v>
      </c>
      <c r="F41" s="67">
        <v>0.47499999999999998</v>
      </c>
      <c r="G41" s="63">
        <v>6.1352141009880334E-4</v>
      </c>
      <c r="H41" s="57" t="s">
        <v>102</v>
      </c>
    </row>
    <row r="42" spans="1:8" x14ac:dyDescent="0.2">
      <c r="A42" s="4" t="s">
        <v>103</v>
      </c>
      <c r="B42" s="12" t="s">
        <v>46</v>
      </c>
      <c r="C42" s="12">
        <v>1800</v>
      </c>
      <c r="D42" s="66">
        <v>0.9</v>
      </c>
      <c r="E42" s="66">
        <v>0.05</v>
      </c>
      <c r="F42" s="66">
        <v>0.05</v>
      </c>
      <c r="G42" s="61">
        <v>6.1922019754932377E-4</v>
      </c>
      <c r="H42" s="56" t="s">
        <v>89</v>
      </c>
    </row>
    <row r="43" spans="1:8" x14ac:dyDescent="0.2">
      <c r="A43" s="4" t="s">
        <v>103</v>
      </c>
      <c r="B43" s="12" t="s">
        <v>46</v>
      </c>
      <c r="C43" s="12">
        <v>1800</v>
      </c>
      <c r="D43" s="66">
        <v>0.855263</v>
      </c>
      <c r="E43" s="66">
        <v>7.2368000000000002E-2</v>
      </c>
      <c r="F43" s="66">
        <v>7.2368000000000002E-2</v>
      </c>
      <c r="G43" s="61">
        <v>6.1783899622578731E-4</v>
      </c>
      <c r="H43" s="56" t="s">
        <v>89</v>
      </c>
    </row>
    <row r="44" spans="1:8" x14ac:dyDescent="0.2">
      <c r="A44" s="4" t="s">
        <v>103</v>
      </c>
      <c r="B44" s="12" t="s">
        <v>46</v>
      </c>
      <c r="C44" s="12">
        <v>1800</v>
      </c>
      <c r="D44" s="66">
        <v>0.81052599999999997</v>
      </c>
      <c r="E44" s="66">
        <v>9.4737000000000002E-2</v>
      </c>
      <c r="F44" s="66">
        <v>9.4737000000000002E-2</v>
      </c>
      <c r="G44" s="61">
        <v>6.1641565193417921E-4</v>
      </c>
      <c r="H44" s="56" t="s">
        <v>89</v>
      </c>
    </row>
    <row r="45" spans="1:8" x14ac:dyDescent="0.2">
      <c r="A45" s="4" t="s">
        <v>103</v>
      </c>
      <c r="B45" s="12" t="s">
        <v>46</v>
      </c>
      <c r="C45" s="12">
        <v>1800</v>
      </c>
      <c r="D45" s="66">
        <v>0.76578900000000005</v>
      </c>
      <c r="E45" s="66">
        <v>0.117105</v>
      </c>
      <c r="F45" s="66">
        <v>0.117105</v>
      </c>
      <c r="G45" s="61">
        <v>6.149434371808388E-4</v>
      </c>
      <c r="H45" s="56" t="s">
        <v>89</v>
      </c>
    </row>
    <row r="46" spans="1:8" x14ac:dyDescent="0.2">
      <c r="A46" s="4" t="s">
        <v>103</v>
      </c>
      <c r="B46" s="12" t="s">
        <v>46</v>
      </c>
      <c r="C46" s="12">
        <v>1800</v>
      </c>
      <c r="D46" s="66">
        <v>0.72105300000000006</v>
      </c>
      <c r="E46" s="66">
        <v>0.13947399999999999</v>
      </c>
      <c r="F46" s="66">
        <v>0.13947399999999999</v>
      </c>
      <c r="G46" s="61">
        <v>6.1340863626056915E-4</v>
      </c>
      <c r="H46" s="56" t="s">
        <v>89</v>
      </c>
    </row>
    <row r="47" spans="1:8" x14ac:dyDescent="0.2">
      <c r="A47" s="4" t="s">
        <v>103</v>
      </c>
      <c r="B47" s="12" t="s">
        <v>46</v>
      </c>
      <c r="C47" s="12">
        <v>1800</v>
      </c>
      <c r="D47" s="66">
        <v>0.67631600000000003</v>
      </c>
      <c r="E47" s="66">
        <v>0.16184200000000001</v>
      </c>
      <c r="F47" s="66">
        <v>0.16184200000000001</v>
      </c>
      <c r="G47" s="61">
        <v>6.1179450768360504E-4</v>
      </c>
      <c r="H47" s="56" t="s">
        <v>89</v>
      </c>
    </row>
    <row r="48" spans="1:8" x14ac:dyDescent="0.2">
      <c r="A48" s="4" t="s">
        <v>103</v>
      </c>
      <c r="B48" s="12" t="s">
        <v>46</v>
      </c>
      <c r="C48" s="12">
        <v>1800</v>
      </c>
      <c r="D48" s="66">
        <v>0.631579</v>
      </c>
      <c r="E48" s="66">
        <v>0.18421100000000001</v>
      </c>
      <c r="F48" s="66">
        <v>0.18421100000000001</v>
      </c>
      <c r="G48" s="61">
        <v>6.100815926117644E-4</v>
      </c>
      <c r="H48" s="56" t="s">
        <v>89</v>
      </c>
    </row>
    <row r="49" spans="1:8" x14ac:dyDescent="0.2">
      <c r="A49" s="4" t="s">
        <v>103</v>
      </c>
      <c r="B49" s="12" t="s">
        <v>46</v>
      </c>
      <c r="C49" s="12">
        <v>1800</v>
      </c>
      <c r="D49" s="66">
        <v>0.58684199999999997</v>
      </c>
      <c r="E49" s="66">
        <v>0.20657900000000001</v>
      </c>
      <c r="F49" s="66">
        <v>0.20657900000000001</v>
      </c>
      <c r="G49" s="61">
        <v>6.0824696690958474E-4</v>
      </c>
      <c r="H49" s="56" t="s">
        <v>90</v>
      </c>
    </row>
    <row r="50" spans="1:8" x14ac:dyDescent="0.2">
      <c r="A50" s="4" t="s">
        <v>103</v>
      </c>
      <c r="B50" s="12" t="s">
        <v>46</v>
      </c>
      <c r="C50" s="12">
        <v>1800</v>
      </c>
      <c r="D50" s="66">
        <v>0.54210499999999995</v>
      </c>
      <c r="E50" s="66">
        <v>0.22894700000000001</v>
      </c>
      <c r="F50" s="66">
        <v>0.22894700000000001</v>
      </c>
      <c r="G50" s="61">
        <v>6.0626292016326122E-4</v>
      </c>
      <c r="H50" s="56" t="s">
        <v>90</v>
      </c>
    </row>
    <row r="51" spans="1:8" x14ac:dyDescent="0.2">
      <c r="A51" s="4" t="s">
        <v>103</v>
      </c>
      <c r="B51" s="12" t="s">
        <v>46</v>
      </c>
      <c r="C51" s="12">
        <v>1800</v>
      </c>
      <c r="D51" s="66">
        <v>0.49736799999999998</v>
      </c>
      <c r="E51" s="66">
        <v>0.25131599999999998</v>
      </c>
      <c r="F51" s="66">
        <v>0.25131599999999998</v>
      </c>
      <c r="G51" s="61">
        <v>6.0409502686098774E-4</v>
      </c>
      <c r="H51" s="56" t="s">
        <v>90</v>
      </c>
    </row>
    <row r="52" spans="1:8" x14ac:dyDescent="0.2">
      <c r="A52" s="4" t="s">
        <v>103</v>
      </c>
      <c r="B52" s="12" t="s">
        <v>46</v>
      </c>
      <c r="C52" s="12">
        <v>1800</v>
      </c>
      <c r="D52" s="66">
        <v>0.45263199999999998</v>
      </c>
      <c r="E52" s="66">
        <v>0.27368399999999998</v>
      </c>
      <c r="F52" s="66">
        <v>0.27368399999999998</v>
      </c>
      <c r="G52" s="61">
        <v>6.0169933822933996E-4</v>
      </c>
      <c r="H52" s="56" t="s">
        <v>90</v>
      </c>
    </row>
    <row r="53" spans="1:8" x14ac:dyDescent="0.2">
      <c r="A53" s="4" t="s">
        <v>103</v>
      </c>
      <c r="B53" s="12" t="s">
        <v>46</v>
      </c>
      <c r="C53" s="12">
        <v>1800</v>
      </c>
      <c r="D53" s="66">
        <v>0.40789500000000001</v>
      </c>
      <c r="E53" s="66">
        <v>0.29605300000000001</v>
      </c>
      <c r="F53" s="66">
        <v>0.29605300000000001</v>
      </c>
      <c r="G53" s="61">
        <v>5.9901817361257418E-4</v>
      </c>
      <c r="H53" s="56" t="s">
        <v>90</v>
      </c>
    </row>
    <row r="54" spans="1:8" x14ac:dyDescent="0.2">
      <c r="A54" s="4" t="s">
        <v>103</v>
      </c>
      <c r="B54" s="12" t="s">
        <v>46</v>
      </c>
      <c r="C54" s="12">
        <v>1800</v>
      </c>
      <c r="D54" s="66">
        <v>0.36315799999999998</v>
      </c>
      <c r="E54" s="66">
        <v>0.31842100000000001</v>
      </c>
      <c r="F54" s="66">
        <v>0.31842100000000001</v>
      </c>
      <c r="G54" s="61">
        <v>5.9597358073382178E-4</v>
      </c>
      <c r="H54" s="56" t="s">
        <v>90</v>
      </c>
    </row>
    <row r="55" spans="1:8" x14ac:dyDescent="0.2">
      <c r="A55" s="4" t="s">
        <v>103</v>
      </c>
      <c r="B55" s="12" t="s">
        <v>46</v>
      </c>
      <c r="C55" s="12">
        <v>1800</v>
      </c>
      <c r="D55" s="66">
        <v>0.31842100000000001</v>
      </c>
      <c r="E55" s="66">
        <v>0.34078900000000001</v>
      </c>
      <c r="F55" s="66">
        <v>0.34078900000000001</v>
      </c>
      <c r="G55" s="61">
        <v>5.9245676811269139E-4</v>
      </c>
      <c r="H55" s="56" t="s">
        <v>90</v>
      </c>
    </row>
    <row r="56" spans="1:8" x14ac:dyDescent="0.2">
      <c r="A56" s="4" t="s">
        <v>103</v>
      </c>
      <c r="B56" s="12" t="s">
        <v>46</v>
      </c>
      <c r="C56" s="12">
        <v>1800</v>
      </c>
      <c r="D56" s="66">
        <v>0.27368399999999998</v>
      </c>
      <c r="E56" s="66">
        <v>0.36315799999999998</v>
      </c>
      <c r="F56" s="66">
        <v>0.36315799999999998</v>
      </c>
      <c r="G56" s="61">
        <v>5.8831031335063188E-4</v>
      </c>
      <c r="H56" s="56" t="s">
        <v>89</v>
      </c>
    </row>
    <row r="57" spans="1:8" x14ac:dyDescent="0.2">
      <c r="A57" s="4" t="s">
        <v>103</v>
      </c>
      <c r="B57" s="12" t="s">
        <v>46</v>
      </c>
      <c r="C57" s="12">
        <v>1800</v>
      </c>
      <c r="D57" s="66">
        <v>0.22894700000000001</v>
      </c>
      <c r="E57" s="66">
        <v>0.38552599999999998</v>
      </c>
      <c r="F57" s="66">
        <v>0.38552599999999998</v>
      </c>
      <c r="G57" s="61">
        <v>5.8329701318900467E-4</v>
      </c>
      <c r="H57" s="56" t="s">
        <v>89</v>
      </c>
    </row>
    <row r="58" spans="1:8" x14ac:dyDescent="0.2">
      <c r="A58" s="4" t="s">
        <v>103</v>
      </c>
      <c r="B58" s="12" t="s">
        <v>46</v>
      </c>
      <c r="C58" s="12">
        <v>1800</v>
      </c>
      <c r="D58" s="66">
        <v>0.18421100000000001</v>
      </c>
      <c r="E58" s="66">
        <v>0.40789500000000001</v>
      </c>
      <c r="F58" s="66">
        <v>0.40789500000000001</v>
      </c>
      <c r="G58" s="61">
        <v>5.770442311225281E-4</v>
      </c>
      <c r="H58" s="56" t="s">
        <v>89</v>
      </c>
    </row>
    <row r="59" spans="1:8" x14ac:dyDescent="0.2">
      <c r="A59" s="4" t="s">
        <v>103</v>
      </c>
      <c r="B59" s="12" t="s">
        <v>46</v>
      </c>
      <c r="C59" s="12">
        <v>1800</v>
      </c>
      <c r="D59" s="66">
        <v>0.13947399999999999</v>
      </c>
      <c r="E59" s="66">
        <v>0.43026300000000001</v>
      </c>
      <c r="F59" s="66">
        <v>0.43026300000000001</v>
      </c>
      <c r="G59" s="61">
        <v>5.689524243180519E-4</v>
      </c>
      <c r="H59" s="56" t="s">
        <v>89</v>
      </c>
    </row>
    <row r="60" spans="1:8" x14ac:dyDescent="0.2">
      <c r="A60" s="4" t="s">
        <v>103</v>
      </c>
      <c r="B60" s="12" t="s">
        <v>46</v>
      </c>
      <c r="C60" s="12">
        <v>1800</v>
      </c>
      <c r="D60" s="66">
        <v>9.4737000000000002E-2</v>
      </c>
      <c r="E60" s="66">
        <v>0.45263199999999998</v>
      </c>
      <c r="F60" s="66">
        <v>0.45263199999999998</v>
      </c>
      <c r="G60" s="61">
        <v>5.5815734965827964E-4</v>
      </c>
      <c r="H60" s="56" t="s">
        <v>90</v>
      </c>
    </row>
    <row r="61" spans="1:8" x14ac:dyDescent="0.2">
      <c r="A61" s="4" t="s">
        <v>103</v>
      </c>
      <c r="B61" s="12" t="s">
        <v>46</v>
      </c>
      <c r="C61" s="12">
        <v>1800</v>
      </c>
      <c r="D61" s="66">
        <v>0.05</v>
      </c>
      <c r="E61" s="66">
        <v>0.47499999999999998</v>
      </c>
      <c r="F61" s="66">
        <v>0.47499999999999998</v>
      </c>
      <c r="G61" s="61">
        <v>5.4418130232639593E-4</v>
      </c>
      <c r="H61" s="56" t="s">
        <v>90</v>
      </c>
    </row>
    <row r="62" spans="1:8" x14ac:dyDescent="0.2">
      <c r="A62" s="8" t="s">
        <v>104</v>
      </c>
      <c r="B62" s="13" t="s">
        <v>52</v>
      </c>
      <c r="C62" s="13">
        <v>1800</v>
      </c>
      <c r="D62" s="67">
        <v>0.9</v>
      </c>
      <c r="E62" s="67">
        <v>2.8570999999999999E-2</v>
      </c>
      <c r="F62" s="67">
        <v>7.1429000000000006E-2</v>
      </c>
      <c r="G62" s="63">
        <v>6.089752639324707E-4</v>
      </c>
      <c r="H62" s="57" t="s">
        <v>105</v>
      </c>
    </row>
    <row r="63" spans="1:8" x14ac:dyDescent="0.2">
      <c r="A63" s="8" t="s">
        <v>104</v>
      </c>
      <c r="B63" s="13" t="s">
        <v>52</v>
      </c>
      <c r="C63" s="13">
        <v>1800</v>
      </c>
      <c r="D63" s="67">
        <v>0.855263</v>
      </c>
      <c r="E63" s="67">
        <v>4.1353000000000001E-2</v>
      </c>
      <c r="F63" s="67">
        <v>0.103383</v>
      </c>
      <c r="G63" s="63">
        <v>6.089752639324707E-4</v>
      </c>
      <c r="H63" s="57" t="s">
        <v>105</v>
      </c>
    </row>
    <row r="64" spans="1:8" x14ac:dyDescent="0.2">
      <c r="A64" s="8" t="s">
        <v>104</v>
      </c>
      <c r="B64" s="13" t="s">
        <v>52</v>
      </c>
      <c r="C64" s="13">
        <v>1800</v>
      </c>
      <c r="D64" s="67">
        <v>0.81052599999999997</v>
      </c>
      <c r="E64" s="67">
        <v>5.4135000000000003E-2</v>
      </c>
      <c r="F64" s="67">
        <v>0.13533800000000001</v>
      </c>
      <c r="G64" s="63">
        <v>6.0897526393246799E-4</v>
      </c>
      <c r="H64" s="57" t="s">
        <v>105</v>
      </c>
    </row>
    <row r="65" spans="1:8" x14ac:dyDescent="0.2">
      <c r="A65" s="8" t="s">
        <v>104</v>
      </c>
      <c r="B65" s="13" t="s">
        <v>52</v>
      </c>
      <c r="C65" s="13">
        <v>1800</v>
      </c>
      <c r="D65" s="67">
        <v>0.76578900000000005</v>
      </c>
      <c r="E65" s="67">
        <v>6.6917000000000004E-2</v>
      </c>
      <c r="F65" s="67">
        <v>0.167293</v>
      </c>
      <c r="G65" s="63">
        <v>6.0897526393246962E-4</v>
      </c>
      <c r="H65" s="57" t="s">
        <v>105</v>
      </c>
    </row>
    <row r="66" spans="1:8" x14ac:dyDescent="0.2">
      <c r="A66" s="8" t="s">
        <v>104</v>
      </c>
      <c r="B66" s="13" t="s">
        <v>52</v>
      </c>
      <c r="C66" s="13">
        <v>1800</v>
      </c>
      <c r="D66" s="67">
        <v>0.72105300000000006</v>
      </c>
      <c r="E66" s="67">
        <v>7.9699000000000006E-2</v>
      </c>
      <c r="F66" s="67">
        <v>0.19924800000000001</v>
      </c>
      <c r="G66" s="63">
        <v>6.0869899314230545E-4</v>
      </c>
      <c r="H66" s="57" t="s">
        <v>89</v>
      </c>
    </row>
    <row r="67" spans="1:8" x14ac:dyDescent="0.2">
      <c r="A67" s="8" t="s">
        <v>104</v>
      </c>
      <c r="B67" s="13" t="s">
        <v>52</v>
      </c>
      <c r="C67" s="13">
        <v>1800</v>
      </c>
      <c r="D67" s="67">
        <v>0.67631600000000003</v>
      </c>
      <c r="E67" s="67">
        <v>9.2480999999999994E-2</v>
      </c>
      <c r="F67" s="67">
        <v>0.23120299999999999</v>
      </c>
      <c r="G67" s="63">
        <v>6.0758065958373293E-4</v>
      </c>
      <c r="H67" s="57" t="s">
        <v>89</v>
      </c>
    </row>
    <row r="68" spans="1:8" x14ac:dyDescent="0.2">
      <c r="A68" s="8" t="s">
        <v>104</v>
      </c>
      <c r="B68" s="13" t="s">
        <v>52</v>
      </c>
      <c r="C68" s="13">
        <v>1800</v>
      </c>
      <c r="D68" s="67">
        <v>0.631579</v>
      </c>
      <c r="E68" s="67">
        <v>0.105263</v>
      </c>
      <c r="F68" s="67">
        <v>0.263158</v>
      </c>
      <c r="G68" s="63">
        <v>6.066170076563114E-4</v>
      </c>
      <c r="H68" s="57" t="s">
        <v>89</v>
      </c>
    </row>
    <row r="69" spans="1:8" x14ac:dyDescent="0.2">
      <c r="A69" s="8" t="s">
        <v>104</v>
      </c>
      <c r="B69" s="13" t="s">
        <v>52</v>
      </c>
      <c r="C69" s="13">
        <v>1800</v>
      </c>
      <c r="D69" s="67">
        <v>0.58684199999999997</v>
      </c>
      <c r="E69" s="67">
        <v>0.118045</v>
      </c>
      <c r="F69" s="67">
        <v>0.29511300000000001</v>
      </c>
      <c r="G69" s="63">
        <v>6.0577894236923588E-4</v>
      </c>
      <c r="H69" s="57" t="s">
        <v>89</v>
      </c>
    </row>
    <row r="70" spans="1:8" x14ac:dyDescent="0.2">
      <c r="A70" s="8" t="s">
        <v>104</v>
      </c>
      <c r="B70" s="13" t="s">
        <v>52</v>
      </c>
      <c r="C70" s="13">
        <v>1800</v>
      </c>
      <c r="D70" s="67">
        <v>0.54210499999999995</v>
      </c>
      <c r="E70" s="67">
        <v>0.130827</v>
      </c>
      <c r="F70" s="67">
        <v>0.32706800000000003</v>
      </c>
      <c r="G70" s="63">
        <v>6.0504408211130344E-4</v>
      </c>
      <c r="H70" s="57" t="s">
        <v>89</v>
      </c>
    </row>
    <row r="71" spans="1:8" x14ac:dyDescent="0.2">
      <c r="A71" s="8" t="s">
        <v>104</v>
      </c>
      <c r="B71" s="13" t="s">
        <v>52</v>
      </c>
      <c r="C71" s="13">
        <v>1800</v>
      </c>
      <c r="D71" s="67">
        <v>0.49736799999999998</v>
      </c>
      <c r="E71" s="67">
        <v>0.14360899999999999</v>
      </c>
      <c r="F71" s="67">
        <v>0.35902299999999998</v>
      </c>
      <c r="G71" s="63">
        <v>6.0439495291751775E-4</v>
      </c>
      <c r="H71" s="57" t="s">
        <v>89</v>
      </c>
    </row>
    <row r="72" spans="1:8" x14ac:dyDescent="0.2">
      <c r="A72" s="8" t="s">
        <v>104</v>
      </c>
      <c r="B72" s="13" t="s">
        <v>52</v>
      </c>
      <c r="C72" s="13">
        <v>1800</v>
      </c>
      <c r="D72" s="67">
        <v>0.45263199999999998</v>
      </c>
      <c r="E72" s="67">
        <v>0.156391</v>
      </c>
      <c r="F72" s="67">
        <v>0.39097700000000002</v>
      </c>
      <c r="G72" s="63">
        <v>6.0381773365903617E-4</v>
      </c>
      <c r="H72" s="57" t="s">
        <v>89</v>
      </c>
    </row>
    <row r="73" spans="1:8" x14ac:dyDescent="0.2">
      <c r="A73" s="8" t="s">
        <v>104</v>
      </c>
      <c r="B73" s="13" t="s">
        <v>52</v>
      </c>
      <c r="C73" s="13">
        <v>1800</v>
      </c>
      <c r="D73" s="67">
        <v>0.40789500000000001</v>
      </c>
      <c r="E73" s="67">
        <v>0.16917299999999999</v>
      </c>
      <c r="F73" s="67">
        <v>0.42293199999999997</v>
      </c>
      <c r="G73" s="63">
        <v>6.0330136420033492E-4</v>
      </c>
      <c r="H73" s="57" t="s">
        <v>89</v>
      </c>
    </row>
    <row r="74" spans="1:8" x14ac:dyDescent="0.2">
      <c r="A74" s="8" t="s">
        <v>104</v>
      </c>
      <c r="B74" s="13" t="s">
        <v>52</v>
      </c>
      <c r="C74" s="13">
        <v>1800</v>
      </c>
      <c r="D74" s="67">
        <v>0.36315799999999998</v>
      </c>
      <c r="E74" s="67">
        <v>0.18195500000000001</v>
      </c>
      <c r="F74" s="67">
        <v>0.45488699999999999</v>
      </c>
      <c r="G74" s="63">
        <v>6.0283689978375048E-4</v>
      </c>
      <c r="H74" s="57" t="s">
        <v>89</v>
      </c>
    </row>
    <row r="75" spans="1:8" x14ac:dyDescent="0.2">
      <c r="A75" s="8" t="s">
        <v>104</v>
      </c>
      <c r="B75" s="13" t="s">
        <v>52</v>
      </c>
      <c r="C75" s="13">
        <v>1800</v>
      </c>
      <c r="D75" s="67">
        <v>0.31842100000000001</v>
      </c>
      <c r="E75" s="67">
        <v>0.19473699999999999</v>
      </c>
      <c r="F75" s="67">
        <v>0.486842</v>
      </c>
      <c r="G75" s="63">
        <v>6.0241703625938563E-4</v>
      </c>
      <c r="H75" s="57" t="s">
        <v>89</v>
      </c>
    </row>
    <row r="76" spans="1:8" x14ac:dyDescent="0.2">
      <c r="A76" s="8" t="s">
        <v>104</v>
      </c>
      <c r="B76" s="13" t="s">
        <v>52</v>
      </c>
      <c r="C76" s="13">
        <v>1800</v>
      </c>
      <c r="D76" s="67">
        <v>0.27368399999999998</v>
      </c>
      <c r="E76" s="67">
        <v>0.20751900000000001</v>
      </c>
      <c r="F76" s="67">
        <v>0.51879699999999995</v>
      </c>
      <c r="G76" s="63">
        <v>6.0203575607193412E-4</v>
      </c>
      <c r="H76" s="57" t="s">
        <v>89</v>
      </c>
    </row>
    <row r="77" spans="1:8" x14ac:dyDescent="0.2">
      <c r="A77" s="8" t="s">
        <v>104</v>
      </c>
      <c r="B77" s="13" t="s">
        <v>52</v>
      </c>
      <c r="C77" s="13">
        <v>1800</v>
      </c>
      <c r="D77" s="67">
        <v>0.22894700000000001</v>
      </c>
      <c r="E77" s="67">
        <v>0.220301</v>
      </c>
      <c r="F77" s="67">
        <v>0.55075200000000002</v>
      </c>
      <c r="G77" s="63">
        <v>6.0168806096810813E-4</v>
      </c>
      <c r="H77" s="57" t="s">
        <v>89</v>
      </c>
    </row>
    <row r="78" spans="1:8" x14ac:dyDescent="0.2">
      <c r="A78" s="8" t="s">
        <v>104</v>
      </c>
      <c r="B78" s="13" t="s">
        <v>52</v>
      </c>
      <c r="C78" s="13">
        <v>1800</v>
      </c>
      <c r="D78" s="67">
        <v>0.18421100000000001</v>
      </c>
      <c r="E78" s="67">
        <v>0.23308300000000001</v>
      </c>
      <c r="F78" s="67">
        <v>0.58270699999999997</v>
      </c>
      <c r="G78" s="63">
        <v>3.4204276467204717E-4</v>
      </c>
      <c r="H78" s="57" t="s">
        <v>106</v>
      </c>
    </row>
    <row r="79" spans="1:8" x14ac:dyDescent="0.2">
      <c r="A79" s="8" t="s">
        <v>104</v>
      </c>
      <c r="B79" s="13" t="s">
        <v>52</v>
      </c>
      <c r="C79" s="13">
        <v>1800</v>
      </c>
      <c r="D79" s="67">
        <v>0.13947399999999999</v>
      </c>
      <c r="E79" s="67">
        <v>0.245865</v>
      </c>
      <c r="F79" s="67">
        <v>0.61466200000000004</v>
      </c>
      <c r="G79" s="63">
        <v>1.4786013105919771E-4</v>
      </c>
      <c r="H79" s="57" t="s">
        <v>106</v>
      </c>
    </row>
    <row r="80" spans="1:8" x14ac:dyDescent="0.2">
      <c r="A80" s="8" t="s">
        <v>104</v>
      </c>
      <c r="B80" s="13" t="s">
        <v>52</v>
      </c>
      <c r="C80" s="13">
        <v>1800</v>
      </c>
      <c r="D80" s="67">
        <v>9.4737000000000002E-2</v>
      </c>
      <c r="E80" s="67">
        <v>0.25864700000000002</v>
      </c>
      <c r="F80" s="67">
        <v>0.646617</v>
      </c>
      <c r="G80" s="63">
        <v>6.0169510442809852E-5</v>
      </c>
      <c r="H80" s="57" t="s">
        <v>106</v>
      </c>
    </row>
    <row r="81" spans="1:8" x14ac:dyDescent="0.2">
      <c r="A81" s="58" t="s">
        <v>104</v>
      </c>
      <c r="B81" s="15" t="s">
        <v>52</v>
      </c>
      <c r="C81" s="15">
        <v>1800</v>
      </c>
      <c r="D81" s="68">
        <v>0.05</v>
      </c>
      <c r="E81" s="68">
        <v>0.27142899999999998</v>
      </c>
      <c r="F81" s="68">
        <v>0.67857100000000004</v>
      </c>
      <c r="G81" s="65">
        <v>3.3043761733942479E-5</v>
      </c>
      <c r="H81" s="59" t="s">
        <v>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zoomScale="156" workbookViewId="0"/>
  </sheetViews>
  <sheetFormatPr baseColWidth="10" defaultColWidth="8.83203125" defaultRowHeight="15" x14ac:dyDescent="0.2"/>
  <cols>
    <col min="1" max="1" width="30" customWidth="1"/>
    <col min="2" max="2" width="42.1640625" customWidth="1"/>
    <col min="3" max="3" width="37.33203125" customWidth="1"/>
    <col min="4" max="4" width="86.5" customWidth="1"/>
    <col min="5" max="5" width="16" customWidth="1"/>
  </cols>
  <sheetData>
    <row r="1" spans="1:5" x14ac:dyDescent="0.2">
      <c r="A1" s="1" t="s">
        <v>108</v>
      </c>
      <c r="B1" s="2" t="s">
        <v>109</v>
      </c>
      <c r="C1" s="2" t="s">
        <v>110</v>
      </c>
      <c r="D1" s="2" t="s">
        <v>111</v>
      </c>
      <c r="E1" s="3" t="s">
        <v>112</v>
      </c>
    </row>
    <row r="2" spans="1:5" x14ac:dyDescent="0.2">
      <c r="A2" s="4" t="s">
        <v>113</v>
      </c>
      <c r="B2" s="12" t="s">
        <v>114</v>
      </c>
      <c r="C2" s="12" t="s">
        <v>115</v>
      </c>
      <c r="D2" s="12" t="s">
        <v>116</v>
      </c>
      <c r="E2" s="56" t="s">
        <v>117</v>
      </c>
    </row>
    <row r="3" spans="1:5" x14ac:dyDescent="0.2">
      <c r="A3" s="8" t="s">
        <v>118</v>
      </c>
      <c r="B3" s="13" t="s">
        <v>119</v>
      </c>
      <c r="C3" s="13" t="s">
        <v>115</v>
      </c>
      <c r="D3" s="13" t="s">
        <v>120</v>
      </c>
      <c r="E3" s="57" t="s">
        <v>117</v>
      </c>
    </row>
    <row r="4" spans="1:5" x14ac:dyDescent="0.2">
      <c r="A4" s="4" t="s">
        <v>121</v>
      </c>
      <c r="B4" s="12" t="s">
        <v>122</v>
      </c>
      <c r="C4" s="12" t="s">
        <v>123</v>
      </c>
      <c r="D4" s="12" t="s">
        <v>124</v>
      </c>
      <c r="E4" s="56" t="s">
        <v>117</v>
      </c>
    </row>
    <row r="5" spans="1:5" x14ac:dyDescent="0.2">
      <c r="A5" s="8" t="s">
        <v>125</v>
      </c>
      <c r="B5" s="13" t="s">
        <v>126</v>
      </c>
      <c r="C5" s="13" t="s">
        <v>115</v>
      </c>
      <c r="D5" s="13" t="s">
        <v>127</v>
      </c>
      <c r="E5" s="57" t="s">
        <v>117</v>
      </c>
    </row>
    <row r="6" spans="1:5" x14ac:dyDescent="0.2">
      <c r="A6" s="20" t="s">
        <v>128</v>
      </c>
      <c r="B6" s="44" t="s">
        <v>129</v>
      </c>
      <c r="C6" s="44" t="s">
        <v>115</v>
      </c>
      <c r="D6" s="44" t="s">
        <v>130</v>
      </c>
      <c r="E6" s="69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dG_vs_T</vt:lpstr>
      <vt:lpstr>CuFe2O4_Decomposition</vt:lpstr>
      <vt:lpstr>Activity_Correction</vt:lpstr>
      <vt:lpstr>Candidate_Ranking</vt:lpstr>
      <vt:lpstr>Slag_Effects</vt:lpstr>
      <vt:lpstr>Cu_Activity</vt:lpstr>
      <vt:lpstr>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DiMascio, Anthony D.</cp:lastModifiedBy>
  <dcterms:created xsi:type="dcterms:W3CDTF">2026-03-14T03:02:15Z</dcterms:created>
  <dcterms:modified xsi:type="dcterms:W3CDTF">2026-03-14T06:04:12Z</dcterms:modified>
</cp:coreProperties>
</file>