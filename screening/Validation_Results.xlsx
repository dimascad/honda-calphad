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G_vs_T" sheetId="1" state="visible" r:id="rId1"/>
    <sheet xmlns:r="http://schemas.openxmlformats.org/officeDocument/2006/relationships" name="CuFe2O4_Decomposition" sheetId="2" state="visible" r:id="rId2"/>
    <sheet xmlns:r="http://schemas.openxmlformats.org/officeDocument/2006/relationships" name="Activity_Correction" sheetId="3" state="visible" r:id="rId3"/>
    <sheet xmlns:r="http://schemas.openxmlformats.org/officeDocument/2006/relationships" name="Candidate_Ranking" sheetId="4" state="visible" r:id="rId4"/>
    <sheet xmlns:r="http://schemas.openxmlformats.org/officeDocument/2006/relationships" name="Slag_Effects" sheetId="5" state="visible" r:id="rId5"/>
    <sheet xmlns:r="http://schemas.openxmlformats.org/officeDocument/2006/relationships" name="Cu_Activity" sheetId="6" state="visible" r:id="rId6"/>
    <sheet xmlns:r="http://schemas.openxmlformats.org/officeDocument/2006/relationships" name="Data_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+0.00;-0.00;0.00"/>
    <numFmt numFmtId="165" formatCode="0.0"/>
    <numFmt numFmtId="166" formatCode="0.0000"/>
    <numFmt numFmtId="167" formatCode="0.000"/>
    <numFmt numFmtId="168" formatCode="+0.0;-0.0"/>
    <numFmt numFmtId="169" formatCode="+0.0;-0.0;0.0"/>
    <numFmt numFmtId="170" formatCode="0.0000E+00"/>
    <numFmt numFmtId="171" formatCode="0.0000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  <sz val="12"/>
    </font>
    <font>
      <i val="1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595959"/>
        <bgColor rgb="00595959"/>
      </patternFill>
    </fill>
    <fill>
      <patternFill patternType="solid">
        <fgColor rgb="00E0E0E0"/>
        <bgColor rgb="00E0E0E0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medium"/>
    </border>
    <border>
      <left style="thin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2" fontId="0" fillId="4" borderId="5" applyAlignment="1" pivotButton="0" quotePrefix="0" xfId="0">
      <alignment horizontal="center"/>
    </xf>
    <xf numFmtId="164" fontId="0" fillId="4" borderId="5" applyAlignment="1" pivotButton="0" quotePrefix="0" xfId="0">
      <alignment horizontal="center"/>
    </xf>
    <xf numFmtId="164" fontId="0" fillId="4" borderId="6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2" fontId="0" fillId="3" borderId="5" applyAlignment="1" pivotButton="0" quotePrefix="0" xfId="0">
      <alignment horizontal="center"/>
    </xf>
    <xf numFmtId="164" fontId="0" fillId="3" borderId="5" applyAlignment="1" pivotButton="0" quotePrefix="0" xfId="0">
      <alignment horizontal="center"/>
    </xf>
    <xf numFmtId="164" fontId="0" fillId="3" borderId="6" applyAlignment="1" pivotButton="0" quotePrefix="0" xfId="0">
      <alignment horizontal="center"/>
    </xf>
    <xf numFmtId="0" fontId="0" fillId="4" borderId="5" applyAlignment="1" pivotButton="0" quotePrefix="0" xfId="0">
      <alignment horizontal="center"/>
    </xf>
    <xf numFmtId="0" fontId="0" fillId="3" borderId="5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164" fontId="0" fillId="3" borderId="8" applyAlignment="1" pivotButton="0" quotePrefix="0" xfId="0">
      <alignment horizontal="center"/>
    </xf>
    <xf numFmtId="164" fontId="0" fillId="3" borderId="9" applyAlignment="1" pivotButton="0" quotePrefix="0" xfId="0">
      <alignment horizontal="center"/>
    </xf>
    <xf numFmtId="165" fontId="0" fillId="4" borderId="6" applyAlignment="1" pivotButton="0" quotePrefix="0" xfId="0">
      <alignment horizontal="center"/>
    </xf>
    <xf numFmtId="165" fontId="0" fillId="3" borderId="6" applyAlignment="1" pivotButton="0" quotePrefix="0" xfId="0">
      <alignment horizontal="center"/>
    </xf>
    <xf numFmtId="0" fontId="0" fillId="4" borderId="7" applyAlignment="1" pivotButton="0" quotePrefix="0" xfId="0">
      <alignment horizontal="center"/>
    </xf>
    <xf numFmtId="2" fontId="0" fillId="4" borderId="8" applyAlignment="1" pivotButton="0" quotePrefix="0" xfId="0">
      <alignment horizontal="center"/>
    </xf>
    <xf numFmtId="164" fontId="0" fillId="4" borderId="8" applyAlignment="1" pivotButton="0" quotePrefix="0" xfId="0">
      <alignment horizontal="center"/>
    </xf>
    <xf numFmtId="165" fontId="0" fillId="4" borderId="9" applyAlignment="1" pivotButton="0" quotePrefix="0" xfId="0">
      <alignment horizontal="center"/>
    </xf>
    <xf numFmtId="0" fontId="3" fillId="0" borderId="0" pivotButton="0" quotePrefix="0" xfId="0"/>
    <xf numFmtId="0" fontId="1" fillId="2" borderId="1" applyAlignment="1" pivotButton="0" quotePrefix="0" xfId="0">
      <alignment horizontal="center" wrapText="1"/>
    </xf>
    <xf numFmtId="0" fontId="1" fillId="2" borderId="2" applyAlignment="1" pivotButton="0" quotePrefix="0" xfId="0">
      <alignment horizontal="center" wrapText="1"/>
    </xf>
    <xf numFmtId="0" fontId="1" fillId="2" borderId="3" applyAlignment="1" pivotButton="0" quotePrefix="0" xfId="0">
      <alignment horizontal="center" wrapText="1"/>
    </xf>
    <xf numFmtId="0" fontId="0" fillId="4" borderId="4" pivotButton="0" quotePrefix="0" xfId="0"/>
    <xf numFmtId="0" fontId="0" fillId="4" borderId="5" pivotButton="0" quotePrefix="0" xfId="0"/>
    <xf numFmtId="166" fontId="0" fillId="4" borderId="5" pivotButton="0" quotePrefix="0" xfId="0"/>
    <xf numFmtId="0" fontId="0" fillId="4" borderId="6" pivotButton="0" quotePrefix="0" xfId="0"/>
    <xf numFmtId="0" fontId="0" fillId="3" borderId="4" pivotButton="0" quotePrefix="0" xfId="0"/>
    <xf numFmtId="0" fontId="0" fillId="3" borderId="5" pivotButton="0" quotePrefix="0" xfId="0"/>
    <xf numFmtId="165" fontId="0" fillId="3" borderId="5" pivotButton="0" quotePrefix="0" xfId="0"/>
    <xf numFmtId="0" fontId="0" fillId="3" borderId="6" pivotButton="0" quotePrefix="0" xfId="0"/>
    <xf numFmtId="167" fontId="0" fillId="4" borderId="5" pivotButton="0" quotePrefix="0" xfId="0"/>
    <xf numFmtId="0" fontId="0" fillId="3" borderId="7" pivotButton="0" quotePrefix="0" xfId="0"/>
    <xf numFmtId="0" fontId="0" fillId="3" borderId="8" pivotButton="0" quotePrefix="0" xfId="0"/>
    <xf numFmtId="168" fontId="0" fillId="3" borderId="8" pivotButton="0" quotePrefix="0" xfId="0"/>
    <xf numFmtId="0" fontId="0" fillId="3" borderId="9" pivotButton="0" quotePrefix="0" xfId="0"/>
    <xf numFmtId="169" fontId="0" fillId="4" borderId="5" applyAlignment="1" pivotButton="0" quotePrefix="0" xfId="0">
      <alignment horizontal="center"/>
    </xf>
    <xf numFmtId="169" fontId="0" fillId="4" borderId="6" applyAlignment="1" pivotButton="0" quotePrefix="0" xfId="0">
      <alignment horizontal="center"/>
    </xf>
    <xf numFmtId="169" fontId="0" fillId="3" borderId="5" applyAlignment="1" pivotButton="0" quotePrefix="0" xfId="0">
      <alignment horizontal="center"/>
    </xf>
    <xf numFmtId="169" fontId="0" fillId="3" borderId="6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169" fontId="0" fillId="4" borderId="8" applyAlignment="1" pivotButton="0" quotePrefix="0" xfId="0">
      <alignment horizontal="center"/>
    </xf>
    <xf numFmtId="169" fontId="0" fillId="4" borderId="9" applyAlignment="1" pivotButton="0" quotePrefix="0" xfId="0">
      <alignment horizontal="center"/>
    </xf>
    <xf numFmtId="0" fontId="4" fillId="0" borderId="0" pivotButton="0" quotePrefix="0" xfId="0"/>
    <xf numFmtId="165" fontId="0" fillId="4" borderId="4" applyAlignment="1" pivotButton="0" quotePrefix="0" xfId="0">
      <alignment horizontal="center"/>
    </xf>
    <xf numFmtId="166" fontId="0" fillId="4" borderId="5" applyAlignment="1" pivotButton="0" quotePrefix="0" xfId="0">
      <alignment horizontal="center"/>
    </xf>
    <xf numFmtId="168" fontId="0" fillId="4" borderId="5" applyAlignment="1" pivotButton="0" quotePrefix="0" xfId="0">
      <alignment horizontal="center"/>
    </xf>
    <xf numFmtId="165" fontId="0" fillId="3" borderId="4" applyAlignment="1" pivotButton="0" quotePrefix="0" xfId="0">
      <alignment horizontal="center"/>
    </xf>
    <xf numFmtId="166" fontId="0" fillId="3" borderId="5" applyAlignment="1" pivotButton="0" quotePrefix="0" xfId="0">
      <alignment horizontal="center"/>
    </xf>
    <xf numFmtId="168" fontId="0" fillId="3" borderId="5" applyAlignment="1" pivotButton="0" quotePrefix="0" xfId="0">
      <alignment horizontal="center"/>
    </xf>
    <xf numFmtId="165" fontId="0" fillId="4" borderId="7" applyAlignment="1" pivotButton="0" quotePrefix="0" xfId="0">
      <alignment horizontal="center"/>
    </xf>
    <xf numFmtId="166" fontId="0" fillId="4" borderId="8" applyAlignment="1" pivotButton="0" quotePrefix="0" xfId="0">
      <alignment horizontal="center"/>
    </xf>
    <xf numFmtId="168" fontId="0" fillId="4" borderId="8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0" fontId="0" fillId="3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3" borderId="9" applyAlignment="1" pivotButton="0" quotePrefix="0" xfId="0">
      <alignment horizontal="center"/>
    </xf>
    <xf numFmtId="165" fontId="0" fillId="4" borderId="5" applyAlignment="1" pivotButton="0" quotePrefix="0" xfId="0">
      <alignment horizontal="center"/>
    </xf>
    <xf numFmtId="170" fontId="0" fillId="4" borderId="5" applyAlignment="1" pivotButton="0" quotePrefix="0" xfId="0">
      <alignment horizontal="center"/>
    </xf>
    <xf numFmtId="165" fontId="0" fillId="3" borderId="5" applyAlignment="1" pivotButton="0" quotePrefix="0" xfId="0">
      <alignment horizontal="center"/>
    </xf>
    <xf numFmtId="170" fontId="0" fillId="3" borderId="5" applyAlignment="1" pivotButton="0" quotePrefix="0" xfId="0">
      <alignment horizontal="center"/>
    </xf>
    <xf numFmtId="165" fontId="0" fillId="3" borderId="8" applyAlignment="1" pivotButton="0" quotePrefix="0" xfId="0">
      <alignment horizontal="center"/>
    </xf>
    <xf numFmtId="170" fontId="0" fillId="3" borderId="8" applyAlignment="1" pivotButton="0" quotePrefix="0" xfId="0">
      <alignment horizontal="center"/>
    </xf>
    <xf numFmtId="171" fontId="0" fillId="4" borderId="5" applyAlignment="1" pivotButton="0" quotePrefix="0" xfId="0">
      <alignment horizontal="center"/>
    </xf>
    <xf numFmtId="171" fontId="0" fillId="3" borderId="5" applyAlignment="1" pivotButton="0" quotePrefix="0" xfId="0">
      <alignment horizontal="center"/>
    </xf>
    <xf numFmtId="171" fontId="0" fillId="3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1" t="inlineStr">
        <is>
          <t>T (K)</t>
        </is>
      </c>
      <c r="B1" s="2" t="inlineStr">
        <is>
          <t>T (°C)</t>
        </is>
      </c>
      <c r="C1" s="2" t="inlineStr">
        <is>
          <t>dG CuFe2O4 (kJ)</t>
        </is>
      </c>
      <c r="D1" s="2" t="inlineStr">
        <is>
          <t>dG Cu3V2O8 (kJ)</t>
        </is>
      </c>
      <c r="E1" s="2" t="inlineStr">
        <is>
          <t>dG CuMn2O4 (kJ)</t>
        </is>
      </c>
      <c r="F1" s="2" t="inlineStr">
        <is>
          <t>dG Cu2SiO4 (kJ)</t>
        </is>
      </c>
      <c r="G1" s="2" t="inlineStr">
        <is>
          <t>dG CuB2O4 (kJ)</t>
        </is>
      </c>
      <c r="H1" s="3" t="inlineStr">
        <is>
          <t>dG CuAl2O4 (kJ)</t>
        </is>
      </c>
    </row>
    <row r="2">
      <c r="A2" s="4" t="n">
        <v>800</v>
      </c>
      <c r="B2" s="5">
        <f>A2-273.15</f>
        <v/>
      </c>
      <c r="C2" s="6" t="n">
        <v>-271.0318747910243</v>
      </c>
      <c r="D2" s="6" t="n">
        <v>-249.1350686443588</v>
      </c>
      <c r="E2" s="6" t="n">
        <v>-197.6566720879269</v>
      </c>
      <c r="F2" s="6" t="n">
        <v>-166.0503475684056</v>
      </c>
      <c r="G2" s="6" t="n">
        <v>-96.8580419010981</v>
      </c>
      <c r="H2" s="7" t="n">
        <v>-86.81767041416234</v>
      </c>
    </row>
    <row r="3">
      <c r="A3" s="8" t="n">
        <v>825</v>
      </c>
      <c r="B3" s="9">
        <f>A3-273.15</f>
        <v/>
      </c>
      <c r="C3" s="10" t="n">
        <v>-267.0932884504393</v>
      </c>
      <c r="D3" s="10" t="n">
        <v>-242.7202021772566</v>
      </c>
      <c r="E3" s="10" t="n">
        <v>-193.0977265315747</v>
      </c>
      <c r="F3" s="10" t="n">
        <v>-161.7744444430768</v>
      </c>
      <c r="G3" s="10" t="n">
        <v>-94.68628481411631</v>
      </c>
      <c r="H3" s="11" t="n">
        <v>-85.0123883573215</v>
      </c>
    </row>
    <row r="4">
      <c r="A4" s="4" t="n">
        <v>850</v>
      </c>
      <c r="B4" s="5">
        <f>A4-273.15</f>
        <v/>
      </c>
      <c r="C4" s="6" t="n">
        <v>-262.7141421186505</v>
      </c>
      <c r="D4" s="6" t="n">
        <v>-236.3254374341248</v>
      </c>
      <c r="E4" s="6" t="n">
        <v>-188.5629148088314</v>
      </c>
      <c r="F4" s="6" t="n">
        <v>-157.5119421887093</v>
      </c>
      <c r="G4" s="6" t="n">
        <v>-92.52122147514974</v>
      </c>
      <c r="H4" s="7" t="n">
        <v>-83.21767686439888</v>
      </c>
    </row>
    <row r="5">
      <c r="A5" s="8" t="n">
        <v>875</v>
      </c>
      <c r="B5" s="9">
        <f>A5-273.15</f>
        <v/>
      </c>
      <c r="C5" s="10" t="n">
        <v>-258.1675254285108</v>
      </c>
      <c r="D5" s="10" t="n">
        <v>-229.9502941331607</v>
      </c>
      <c r="E5" s="10" t="n">
        <v>-184.0517541832256</v>
      </c>
      <c r="F5" s="10" t="n">
        <v>-153.2625220700014</v>
      </c>
      <c r="G5" s="10" t="n">
        <v>-90.36268394813872</v>
      </c>
      <c r="H5" s="11" t="n">
        <v>-81.43353104731207</v>
      </c>
    </row>
    <row r="6">
      <c r="A6" s="4" t="n">
        <v>900</v>
      </c>
      <c r="B6" s="5">
        <f>A6-273.15</f>
        <v/>
      </c>
      <c r="C6" s="6" t="n">
        <v>-253.6389817711887</v>
      </c>
      <c r="D6" s="6" t="n">
        <v>-223.5943187139453</v>
      </c>
      <c r="E6" s="6" t="n">
        <v>-179.5637447178424</v>
      </c>
      <c r="F6" s="6" t="n">
        <v>-149.02587678967</v>
      </c>
      <c r="G6" s="6" t="n">
        <v>-88.21050608409779</v>
      </c>
      <c r="H6" s="7" t="n">
        <v>-79.65994694975437</v>
      </c>
    </row>
    <row r="7">
      <c r="A7" s="8" t="n">
        <v>925</v>
      </c>
      <c r="B7" s="9">
        <f>A7-273.15</f>
        <v/>
      </c>
      <c r="C7" s="10" t="n">
        <v>-249.1278475181395</v>
      </c>
      <c r="D7" s="10" t="n">
        <v>-217.257082949942</v>
      </c>
      <c r="E7" s="10" t="n">
        <v>-175.0983762026788</v>
      </c>
      <c r="F7" s="10" t="n">
        <v>-144.8017207111642</v>
      </c>
      <c r="G7" s="10" t="n">
        <v>-86.06451721235901</v>
      </c>
      <c r="H7" s="11" t="n">
        <v>-77.89692090807017</v>
      </c>
    </row>
    <row r="8">
      <c r="A8" s="4" t="n">
        <v>950</v>
      </c>
      <c r="B8" s="5">
        <f>A8-273.15</f>
        <v/>
      </c>
      <c r="C8" s="6" t="n">
        <v>-244.6334630851566</v>
      </c>
      <c r="D8" s="6" t="n">
        <v>-210.938182541721</v>
      </c>
      <c r="E8" s="6" t="n">
        <v>-170.6551339577942</v>
      </c>
      <c r="F8" s="6" t="n">
        <v>-140.5897841411936</v>
      </c>
      <c r="G8" s="6" t="n">
        <v>-83.92453128797445</v>
      </c>
      <c r="H8" s="7" t="n">
        <v>-76.14444899152103</v>
      </c>
    </row>
    <row r="9">
      <c r="A9" s="8" t="n">
        <v>975</v>
      </c>
      <c r="B9" s="9">
        <f>A9-273.15</f>
        <v/>
      </c>
      <c r="C9" s="10" t="n">
        <v>-240.1552732973686</v>
      </c>
      <c r="D9" s="10" t="n">
        <v>-204.8691177208005</v>
      </c>
      <c r="E9" s="10" t="n">
        <v>-166.2335036393788</v>
      </c>
      <c r="F9" s="10" t="n">
        <v>-136.3898123868641</v>
      </c>
      <c r="G9" s="10" t="n">
        <v>-81.79032752163917</v>
      </c>
      <c r="H9" s="11" t="n">
        <v>-74.40252638451987</v>
      </c>
    </row>
    <row r="10">
      <c r="A10" s="4" t="n">
        <v>1000</v>
      </c>
      <c r="B10" s="5">
        <f>A10-273.15</f>
        <v/>
      </c>
      <c r="C10" s="6" t="n">
        <v>-235.6927056654284</v>
      </c>
      <c r="D10" s="6" t="n">
        <v>-198.6776850950876</v>
      </c>
      <c r="E10" s="6" t="n">
        <v>-161.8329751129714</v>
      </c>
      <c r="F10" s="6" t="n">
        <v>-132.2015647325024</v>
      </c>
      <c r="G10" s="6" t="n">
        <v>-79.66161402735416</v>
      </c>
      <c r="H10" s="7" t="n">
        <v>-72.67114679903862</v>
      </c>
    </row>
    <row r="11">
      <c r="A11" s="8" t="n">
        <v>1025</v>
      </c>
      <c r="B11" s="9">
        <f>A11-273.15</f>
        <v/>
      </c>
      <c r="C11" s="10" t="n">
        <v>-231.2451770220193</v>
      </c>
      <c r="D11" s="10" t="n">
        <v>-192.5325335109173</v>
      </c>
      <c r="E11" s="10" t="n">
        <v>-157.4530455487934</v>
      </c>
      <c r="F11" s="10" t="n">
        <v>-128.0248133667249</v>
      </c>
      <c r="G11" s="10" t="n">
        <v>-77.53794745051326</v>
      </c>
      <c r="H11" s="11" t="n">
        <v>-70.95030184834265</v>
      </c>
    </row>
    <row r="12">
      <c r="A12" s="4" t="n">
        <v>1050</v>
      </c>
      <c r="B12" s="5">
        <f>A12-273.15</f>
        <v/>
      </c>
      <c r="C12" s="6" t="n">
        <v>-226.812178289979</v>
      </c>
      <c r="D12" s="12" t="n"/>
      <c r="E12" s="6" t="n">
        <v>-153.0932201773871</v>
      </c>
      <c r="F12" s="6" t="n">
        <v>-123.8593405046973</v>
      </c>
      <c r="G12" s="6" t="n">
        <v>-75.41908826699714</v>
      </c>
      <c r="H12" s="7" t="n">
        <v>-69.23997952717147</v>
      </c>
    </row>
    <row r="13">
      <c r="A13" s="8" t="n">
        <v>1075</v>
      </c>
      <c r="B13" s="9">
        <f>A13-273.15</f>
        <v/>
      </c>
      <c r="C13" s="10" t="n">
        <v>-222.3937163613415</v>
      </c>
      <c r="D13" s="10" t="n">
        <v>-180.4169680565107</v>
      </c>
      <c r="E13" s="10" t="n">
        <v>-148.7530153472058</v>
      </c>
      <c r="F13" s="10" t="n">
        <v>-119.7049386838072</v>
      </c>
      <c r="G13" s="10" t="n">
        <v>-73.30570115895965</v>
      </c>
      <c r="H13" s="11" t="n">
        <v>-67.54016428186651</v>
      </c>
    </row>
    <row r="14">
      <c r="A14" s="4" t="n">
        <v>1100</v>
      </c>
      <c r="B14" s="5">
        <f>A14-273.15</f>
        <v/>
      </c>
      <c r="C14" s="6" t="n">
        <v>-217.9897230296175</v>
      </c>
      <c r="D14" s="6" t="n">
        <v>-174.4734016658622</v>
      </c>
      <c r="E14" s="6" t="n">
        <v>-144.4319604998403</v>
      </c>
      <c r="F14" s="6" t="n">
        <v>-115.5614099055431</v>
      </c>
      <c r="G14" s="6" t="n">
        <v>-71.19775313675916</v>
      </c>
      <c r="H14" s="7" t="n">
        <v>-65.85083650555205</v>
      </c>
    </row>
    <row r="15">
      <c r="A15" s="8" t="n">
        <v>1125</v>
      </c>
      <c r="B15" s="9">
        <f>A15-273.15</f>
        <v/>
      </c>
      <c r="C15" s="10" t="n">
        <v>-213.600061741296</v>
      </c>
      <c r="D15" s="10" t="n">
        <v>-168.6332607645523</v>
      </c>
      <c r="E15" s="10" t="n">
        <v>-140.1295989852911</v>
      </c>
      <c r="F15" s="10" t="n">
        <v>-111.4285644846307</v>
      </c>
      <c r="G15" s="10" t="n">
        <v>-69.09514933712431</v>
      </c>
      <c r="H15" s="11" t="n">
        <v>-64.17197188917663</v>
      </c>
    </row>
    <row r="16">
      <c r="A16" s="4" t="n">
        <v>1150</v>
      </c>
      <c r="B16" s="5">
        <f>A16-273.15</f>
        <v/>
      </c>
      <c r="C16" s="6" t="n">
        <v>-209.2246060921538</v>
      </c>
      <c r="D16" s="6" t="n">
        <v>-162.9282933069137</v>
      </c>
      <c r="E16" s="6" t="n">
        <v>-135.8454887584168</v>
      </c>
      <c r="F16" s="6" t="n">
        <v>-107.3062239986376</v>
      </c>
      <c r="G16" s="6" t="n">
        <v>-66.99779849347844</v>
      </c>
      <c r="H16" s="7" t="n">
        <v>-62.50354079380608</v>
      </c>
    </row>
    <row r="17">
      <c r="A17" s="8" t="n">
        <v>1175</v>
      </c>
      <c r="B17" s="9">
        <f>A17-273.15</f>
        <v/>
      </c>
      <c r="C17" s="10" t="n">
        <v>-204.8627415698511</v>
      </c>
      <c r="D17" s="10" t="n">
        <v>-157.4050092434641</v>
      </c>
      <c r="E17" s="10" t="n">
        <v>-131.5792027721843</v>
      </c>
      <c r="F17" s="10" t="n">
        <v>-103.194218479652</v>
      </c>
      <c r="G17" s="10" t="n">
        <v>-64.90561239221296</v>
      </c>
      <c r="H17" s="11" t="n">
        <v>-60.84550764211127</v>
      </c>
    </row>
    <row r="18">
      <c r="A18" s="4" t="n">
        <v>1200</v>
      </c>
      <c r="B18" s="5">
        <f>A18-273.15</f>
        <v/>
      </c>
      <c r="C18" s="6" t="n">
        <v>-200.5135269605683</v>
      </c>
      <c r="D18" s="6" t="n">
        <v>-152.1330929455277</v>
      </c>
      <c r="E18" s="6" t="n">
        <v>-127.3303291194199</v>
      </c>
      <c r="F18" s="6" t="n">
        <v>-99.09236600338878</v>
      </c>
      <c r="G18" s="6" t="n">
        <v>-62.81850533956406</v>
      </c>
      <c r="H18" s="7" t="n">
        <v>-59.19783032918279</v>
      </c>
    </row>
    <row r="19">
      <c r="A19" s="8" t="n">
        <v>1225</v>
      </c>
      <c r="B19" s="9">
        <f>A19-273.15</f>
        <v/>
      </c>
      <c r="C19" s="10" t="n">
        <v>-196.1786186856967</v>
      </c>
      <c r="D19" s="13" t="n"/>
      <c r="E19" s="10" t="n">
        <v>-123.0984709858233</v>
      </c>
      <c r="F19" s="10" t="n">
        <v>-95.00049920544168</v>
      </c>
      <c r="G19" s="10" t="n">
        <v>-60.73639363714307</v>
      </c>
      <c r="H19" s="11" t="n">
        <v>-57.56045965444809</v>
      </c>
    </row>
    <row r="20">
      <c r="A20" s="4" t="n">
        <v>1250</v>
      </c>
      <c r="B20" s="5">
        <f>A20-273.15</f>
        <v/>
      </c>
      <c r="C20" s="6" t="n">
        <v>-191.8579424376593</v>
      </c>
      <c r="D20" s="6" t="n">
        <v>-142.8394846807262</v>
      </c>
      <c r="E20" s="6" t="n">
        <v>-118.8832464562594</v>
      </c>
      <c r="F20" s="6" t="n">
        <v>-90.91845368282287</v>
      </c>
      <c r="G20" s="6" t="n">
        <v>-58.65919506500173</v>
      </c>
      <c r="H20" s="7" t="n">
        <v>-55.93333877807181</v>
      </c>
    </row>
    <row r="21">
      <c r="A21" s="8" t="n">
        <v>1275</v>
      </c>
      <c r="B21" s="9">
        <f>A21-273.15</f>
        <v/>
      </c>
      <c r="C21" s="10" t="n">
        <v>-187.5514615661267</v>
      </c>
      <c r="D21" s="13" t="n"/>
      <c r="E21" s="10" t="n">
        <v>-114.6843004979631</v>
      </c>
      <c r="F21" s="10" t="n">
        <v>-86.84609150286857</v>
      </c>
      <c r="G21" s="10" t="n">
        <v>-56.58684063605988</v>
      </c>
      <c r="H21" s="11" t="n">
        <v>-54.3164149707281</v>
      </c>
    </row>
    <row r="22">
      <c r="A22" s="4" t="n">
        <v>1300</v>
      </c>
      <c r="B22" s="5">
        <f>A22-273.15</f>
        <v/>
      </c>
      <c r="C22" s="6" t="n">
        <v>-183.2592137216339</v>
      </c>
      <c r="D22" s="12" t="n"/>
      <c r="E22" s="6" t="n">
        <v>-110.5013494056736</v>
      </c>
      <c r="F22" s="6" t="n">
        <v>-82.78338964730432</v>
      </c>
      <c r="G22" s="6" t="n">
        <v>-54.5193188180977</v>
      </c>
      <c r="H22" s="7" t="n">
        <v>-52.70968385828682</v>
      </c>
    </row>
    <row r="23">
      <c r="A23" s="8" t="n">
        <v>1325</v>
      </c>
      <c r="B23" s="9">
        <f>A23-273.15</f>
        <v/>
      </c>
      <c r="C23" s="10" t="n">
        <v>-178.9812037814756</v>
      </c>
      <c r="D23" s="13" t="n"/>
      <c r="E23" s="10" t="n">
        <v>-106.3340824113423</v>
      </c>
      <c r="F23" s="10" t="n">
        <v>-78.73024252475193</v>
      </c>
      <c r="G23" s="10" t="n">
        <v>-53.05423803529399</v>
      </c>
      <c r="H23" s="11" t="n">
        <v>-51.11309073364711</v>
      </c>
    </row>
    <row r="24">
      <c r="A24" s="4" t="n">
        <v>1350</v>
      </c>
      <c r="B24" s="5">
        <f>A24-273.15</f>
        <v/>
      </c>
      <c r="C24" s="6" t="n">
        <v>-174.7174310201225</v>
      </c>
      <c r="D24" s="6" t="n">
        <v>-135.6417511727898</v>
      </c>
      <c r="E24" s="6" t="n">
        <v>-102.1821983961824</v>
      </c>
      <c r="F24" s="6" t="n">
        <v>-74.68653398573957</v>
      </c>
      <c r="G24" s="6" t="n">
        <v>-53.00900590382819</v>
      </c>
      <c r="H24" s="7" t="n">
        <v>-49.52656665831944</v>
      </c>
    </row>
    <row r="25">
      <c r="A25" s="8" t="n">
        <v>1375</v>
      </c>
      <c r="B25" s="9">
        <f>A25-273.15</f>
        <v/>
      </c>
      <c r="C25" s="10" t="n">
        <v>-170.3626446921336</v>
      </c>
      <c r="D25" s="10" t="n">
        <v>-134.4007994827619</v>
      </c>
      <c r="E25" s="10" t="n">
        <v>-97.87679686433449</v>
      </c>
      <c r="F25" s="10" t="n">
        <v>-71.80183317730483</v>
      </c>
      <c r="G25" s="10" t="n">
        <v>-52.79242895349278</v>
      </c>
      <c r="H25" s="11" t="n">
        <v>-47.77964626627695</v>
      </c>
    </row>
    <row r="26">
      <c r="A26" s="4" t="n">
        <v>1400</v>
      </c>
      <c r="B26" s="5">
        <f>A26-273.15</f>
        <v/>
      </c>
      <c r="C26" s="6" t="n">
        <v>-166.0086884661482</v>
      </c>
      <c r="D26" s="6" t="n">
        <v>-132.9362771697682</v>
      </c>
      <c r="E26" s="6" t="n">
        <v>-93.63238456278131</v>
      </c>
      <c r="F26" s="6" t="n">
        <v>-70.55031248275027</v>
      </c>
      <c r="G26" s="6" t="n">
        <v>-52.50064103551092</v>
      </c>
      <c r="H26" s="7" t="n">
        <v>-45.96840836012201</v>
      </c>
    </row>
    <row r="27">
      <c r="A27" s="8" t="n">
        <v>1425</v>
      </c>
      <c r="B27" s="9">
        <f>A27-273.15</f>
        <v/>
      </c>
      <c r="C27" s="10" t="n">
        <v>-161.7356856354461</v>
      </c>
      <c r="D27" s="10" t="n">
        <v>-131.4693405114151</v>
      </c>
      <c r="E27" s="10" t="n">
        <v>-89.60875948106357</v>
      </c>
      <c r="F27" s="10" t="n">
        <v>-69.30958470675489</v>
      </c>
      <c r="G27" s="10" t="n">
        <v>-52.20747156584705</v>
      </c>
      <c r="H27" s="11" t="n">
        <v>-44.16674142602412</v>
      </c>
    </row>
    <row r="28">
      <c r="A28" s="4" t="n">
        <v>1450</v>
      </c>
      <c r="B28" s="5">
        <f>A28-273.15</f>
        <v/>
      </c>
      <c r="C28" s="6" t="n">
        <v>-157.5645635551985</v>
      </c>
      <c r="D28" s="6" t="n">
        <v>-129.9999390374878</v>
      </c>
      <c r="E28" s="6" t="n">
        <v>-85.83639760867995</v>
      </c>
      <c r="F28" s="6" t="n">
        <v>-68.07984879847686</v>
      </c>
      <c r="G28" s="6" t="n">
        <v>-51.9130100464439</v>
      </c>
      <c r="H28" s="7" t="n">
        <v>-42.37502099830052</v>
      </c>
    </row>
    <row r="29">
      <c r="A29" s="8" t="n">
        <v>1475</v>
      </c>
      <c r="B29" s="9">
        <f>A29-273.15</f>
        <v/>
      </c>
      <c r="C29" s="10" t="n">
        <v>-153.5156581030251</v>
      </c>
      <c r="D29" s="10" t="n">
        <v>-128.5280270846305</v>
      </c>
      <c r="E29" s="10" t="n">
        <v>-82.35127505792794</v>
      </c>
      <c r="F29" s="10" t="n">
        <v>-66.8613106832758</v>
      </c>
      <c r="G29" s="10" t="n">
        <v>-51.61734373214329</v>
      </c>
      <c r="H29" s="11" t="n">
        <v>-40.59407686988683</v>
      </c>
    </row>
    <row r="30">
      <c r="A30" s="4" t="n">
        <v>1500</v>
      </c>
      <c r="B30" s="5">
        <f>A30-273.15</f>
        <v/>
      </c>
      <c r="C30" s="6" t="n">
        <v>-149.6050590697446</v>
      </c>
      <c r="D30" s="6" t="n">
        <v>-127.0535638199416</v>
      </c>
      <c r="E30" s="6" t="n">
        <v>-79.18553341206676</v>
      </c>
      <c r="F30" s="6" t="n">
        <v>-65.65419675637129</v>
      </c>
      <c r="G30" s="6" t="n">
        <v>-51.32055847963202</v>
      </c>
      <c r="H30" s="7" t="n">
        <v>-38.82567997995438</v>
      </c>
    </row>
    <row r="31">
      <c r="A31" s="8" t="n">
        <v>1525</v>
      </c>
      <c r="B31" s="9">
        <f>A31-273.15</f>
        <v/>
      </c>
      <c r="C31" s="10" t="n">
        <v>-145.8428575449379</v>
      </c>
      <c r="D31" s="10" t="n">
        <v>-125.5765133131431</v>
      </c>
      <c r="E31" s="10" t="n">
        <v>-76.35468105462287</v>
      </c>
      <c r="F31" s="10" t="n">
        <v>-64.45876889066631</v>
      </c>
      <c r="G31" s="10" t="n">
        <v>-51.02273992920527</v>
      </c>
      <c r="H31" s="11" t="n">
        <v>-37.07352239904134</v>
      </c>
    </row>
    <row r="32">
      <c r="A32" s="4" t="n">
        <v>1550</v>
      </c>
      <c r="B32" s="5">
        <f>A32-273.15</f>
        <v/>
      </c>
      <c r="C32" s="6" t="n">
        <v>-142.2348822979305</v>
      </c>
      <c r="D32" s="6" t="n">
        <v>-124.0968445850271</v>
      </c>
      <c r="E32" s="6" t="n">
        <v>-73.85063748378911</v>
      </c>
      <c r="F32" s="6" t="n">
        <v>-63.27534059969918</v>
      </c>
      <c r="G32" s="6" t="n">
        <v>-50.72397511400445</v>
      </c>
      <c r="H32" s="7" t="n">
        <v>-35.34513649962609</v>
      </c>
    </row>
    <row r="33">
      <c r="A33" s="8" t="n">
        <v>1575</v>
      </c>
      <c r="B33" s="9">
        <f>A33-273.15</f>
        <v/>
      </c>
      <c r="C33" s="10" t="n">
        <v>-138.7865405564865</v>
      </c>
      <c r="D33" s="10" t="n">
        <v>-122.6145324528646</v>
      </c>
      <c r="E33" s="10" t="n">
        <v>-71.64968976716465</v>
      </c>
      <c r="F33" s="10" t="n">
        <v>-62.10429348452227</v>
      </c>
      <c r="G33" s="10" t="n">
        <v>-50.42435461462313</v>
      </c>
      <c r="H33" s="11" t="n">
        <v>-34.70174227379635</v>
      </c>
    </row>
    <row r="34">
      <c r="A34" s="4" t="n">
        <v>1600</v>
      </c>
      <c r="B34" s="5">
        <f>A34-273.15</f>
        <v/>
      </c>
      <c r="C34" s="6" t="n">
        <v>-135.5066161636098</v>
      </c>
      <c r="D34" s="6" t="n">
        <v>-121.1295572899743</v>
      </c>
      <c r="E34" s="6" t="n">
        <v>-69.72823869963875</v>
      </c>
      <c r="F34" s="6" t="n">
        <v>-60.94609216412413</v>
      </c>
      <c r="G34" s="6" t="n">
        <v>-50.12397540184367</v>
      </c>
      <c r="H34" s="7" t="n">
        <v>-34.36637836496904</v>
      </c>
    </row>
    <row r="35">
      <c r="A35" s="8" t="n">
        <v>1625</v>
      </c>
      <c r="B35" s="9">
        <f>A35-273.15</f>
        <v/>
      </c>
      <c r="C35" s="10" t="n">
        <v>-132.4104043361058</v>
      </c>
      <c r="D35" s="10" t="n">
        <v>-119.6419052922297</v>
      </c>
      <c r="E35" s="10" t="n">
        <v>-68.07349426523713</v>
      </c>
      <c r="F35" s="10" t="n">
        <v>-59.80129442212614</v>
      </c>
      <c r="G35" s="10" t="n">
        <v>-49.82294454200542</v>
      </c>
      <c r="H35" s="11" t="n">
        <v>-34.04585797556303</v>
      </c>
    </row>
    <row r="36">
      <c r="A36" s="4" t="n">
        <v>1650</v>
      </c>
      <c r="B36" s="5">
        <f>A36-273.15</f>
        <v/>
      </c>
      <c r="C36" s="6" t="n">
        <v>-129.2934438795564</v>
      </c>
      <c r="D36" s="6" t="n">
        <v>-118.1515688243541</v>
      </c>
      <c r="E36" s="6" t="n">
        <v>-66.68742447380185</v>
      </c>
      <c r="F36" s="6" t="n">
        <v>-58.67055149410642</v>
      </c>
      <c r="G36" s="6" t="n">
        <v>-49.52138397459662</v>
      </c>
      <c r="H36" s="7" t="n">
        <v>-33.74089685786236</v>
      </c>
    </row>
    <row r="37">
      <c r="A37" s="8" t="n">
        <v>1675</v>
      </c>
      <c r="B37" s="9">
        <f>A37-273.15</f>
        <v/>
      </c>
      <c r="C37" s="10" t="n">
        <v>-125.6435819110672</v>
      </c>
      <c r="D37" s="13" t="n"/>
      <c r="E37" s="10" t="n">
        <v>-65.58848779175803</v>
      </c>
      <c r="F37" s="10" t="n">
        <v>-57.55459456494521</v>
      </c>
      <c r="G37" s="10" t="n">
        <v>-49.21943661346845</v>
      </c>
      <c r="H37" s="11" t="n">
        <v>-33.45245722887618</v>
      </c>
    </row>
    <row r="38">
      <c r="A38" s="4" t="n">
        <v>1700</v>
      </c>
      <c r="B38" s="5">
        <f>A38-273.15</f>
        <v/>
      </c>
      <c r="C38" s="6" t="n">
        <v>-122.2904987869768</v>
      </c>
      <c r="D38" s="6" t="n">
        <v>-115.1628482228937</v>
      </c>
      <c r="E38" s="6" t="n">
        <v>-64.81479576469725</v>
      </c>
      <c r="F38" s="6" t="n">
        <v>-56.45420089473901</v>
      </c>
      <c r="G38" s="6" t="n">
        <v>-48.91727407235815</v>
      </c>
      <c r="H38" s="7" t="n">
        <v>-33.18178676280845</v>
      </c>
    </row>
    <row r="39">
      <c r="A39" s="8" t="n">
        <v>1725</v>
      </c>
      <c r="B39" s="9">
        <f>A39-273.15</f>
        <v/>
      </c>
      <c r="C39" s="10" t="n">
        <v>-119.3302823628907</v>
      </c>
      <c r="D39" s="10" t="n">
        <v>-113.6644866325501</v>
      </c>
      <c r="E39" s="10" t="n">
        <v>-64.43138409541012</v>
      </c>
      <c r="F39" s="10" t="n">
        <v>-55.37016815017211</v>
      </c>
      <c r="G39" s="10" t="n">
        <v>-48.61510637405166</v>
      </c>
      <c r="H39" s="11" t="n">
        <v>-32.93046345427539</v>
      </c>
    </row>
    <row r="40">
      <c r="A40" s="4" t="n">
        <v>1750</v>
      </c>
      <c r="B40" s="5">
        <f>A40-273.15</f>
        <v/>
      </c>
      <c r="C40" s="6" t="n">
        <v>-116.776722671327</v>
      </c>
      <c r="D40" s="6" t="n">
        <v>-112.1634881084766</v>
      </c>
      <c r="E40" s="6" t="n">
        <v>-64.3981312913543</v>
      </c>
      <c r="F40" s="6" t="n">
        <v>-54.30241812155302</v>
      </c>
      <c r="G40" s="6" t="n">
        <v>-48.31319407416577</v>
      </c>
      <c r="H40" s="7" t="n">
        <v>-32.70044868837949</v>
      </c>
    </row>
    <row r="41">
      <c r="A41" s="8" t="n">
        <v>1775</v>
      </c>
      <c r="B41" s="9">
        <f>A41-273.15</f>
        <v/>
      </c>
      <c r="C41" s="10" t="n">
        <v>-114.302154970214</v>
      </c>
      <c r="D41" s="10" t="n">
        <v>-110.6598890721374</v>
      </c>
      <c r="E41" s="10" t="n">
        <v>-64.40785118495253</v>
      </c>
      <c r="F41" s="10" t="n">
        <v>-53.24941928931605</v>
      </c>
      <c r="G41" s="10" t="n">
        <v>-48.01186332107941</v>
      </c>
      <c r="H41" s="11" t="n">
        <v>-32.49415193908708</v>
      </c>
    </row>
    <row r="42">
      <c r="A42" s="4" t="n">
        <v>1800</v>
      </c>
      <c r="B42" s="5">
        <f>A42-273.15</f>
        <v/>
      </c>
      <c r="C42" s="6" t="n">
        <v>-111.8803016055257</v>
      </c>
      <c r="D42" s="6" t="n">
        <v>-109.153739537538</v>
      </c>
      <c r="E42" s="6" t="n">
        <v>-64.44255177885806</v>
      </c>
      <c r="F42" s="6" t="n">
        <v>-52.2142038660238</v>
      </c>
      <c r="G42" s="6" t="n">
        <v>-47.71152449032571</v>
      </c>
      <c r="H42" s="7" t="n">
        <v>-32.31451216300158</v>
      </c>
    </row>
    <row r="43">
      <c r="A43" s="8" t="n">
        <v>1825</v>
      </c>
      <c r="B43" s="9">
        <f>A43-273.15</f>
        <v/>
      </c>
      <c r="C43" s="10" t="n">
        <v>-109.5030324288458</v>
      </c>
      <c r="D43" s="10" t="n">
        <v>-107.6451053543319</v>
      </c>
      <c r="E43" s="10" t="n">
        <v>-64.50137282604538</v>
      </c>
      <c r="F43" s="10" t="n">
        <v>-51.19731918447464</v>
      </c>
      <c r="G43" s="10" t="n">
        <v>-47.41269518882246</v>
      </c>
      <c r="H43" s="11" t="n">
        <v>-32.16510331816366</v>
      </c>
    </row>
    <row r="44">
      <c r="A44" s="4" t="n">
        <v>1850</v>
      </c>
      <c r="B44" s="5">
        <f>A44-273.15</f>
        <v/>
      </c>
      <c r="C44" s="6" t="n">
        <v>-107.1792750143418</v>
      </c>
      <c r="D44" s="6" t="n">
        <v>-106.1340729561048</v>
      </c>
      <c r="E44" s="6" t="n">
        <v>-64.58347052444262</v>
      </c>
      <c r="F44" s="6" t="n">
        <v>-50.19937692855508</v>
      </c>
      <c r="G44" s="6" t="n">
        <v>-47.11602864171588</v>
      </c>
      <c r="H44" s="7" t="n">
        <v>-32.0502745898678</v>
      </c>
    </row>
    <row r="45">
      <c r="A45" s="8" t="n">
        <v>1875</v>
      </c>
      <c r="B45" s="9">
        <f>A45-273.15</f>
        <v/>
      </c>
      <c r="C45" s="10" t="n">
        <v>-104.9095506934915</v>
      </c>
      <c r="D45" s="10" t="n">
        <v>-104.6207513703471</v>
      </c>
      <c r="E45" s="10" t="n">
        <v>-64.68801970190508</v>
      </c>
      <c r="F45" s="10" t="n">
        <v>-49.22113158159657</v>
      </c>
      <c r="G45" s="10" t="n">
        <v>-46.82234878239827</v>
      </c>
      <c r="H45" s="11" t="n">
        <v>-31.97533971936349</v>
      </c>
    </row>
    <row r="46">
      <c r="A46" s="4" t="n">
        <v>1900</v>
      </c>
      <c r="B46" s="5">
        <f>A46-273.15</f>
        <v/>
      </c>
      <c r="C46" s="6" t="n">
        <v>-102.6937816081345</v>
      </c>
      <c r="D46" s="6" t="n">
        <v>-103.1052776058642</v>
      </c>
      <c r="E46" s="6" t="n">
        <v>-64.81421609659377</v>
      </c>
      <c r="F46" s="6" t="n">
        <v>-48.2635571554394</v>
      </c>
      <c r="G46" s="6" t="n">
        <v>-46.53269381373538</v>
      </c>
      <c r="H46" s="7" t="n">
        <v>-31.94683367608534</v>
      </c>
    </row>
    <row r="47">
      <c r="A47" s="14" t="inlineStr">
        <is>
          <t>MIN</t>
        </is>
      </c>
      <c r="B47" s="15" t="inlineStr"/>
      <c r="C47" s="16">
        <f>MIN(C2:C46)</f>
        <v/>
      </c>
      <c r="D47" s="16">
        <f>MIN(D2:D46)</f>
        <v/>
      </c>
      <c r="E47" s="16">
        <f>MIN(E2:E46)</f>
        <v/>
      </c>
      <c r="F47" s="16">
        <f>MIN(F2:F46)</f>
        <v/>
      </c>
      <c r="G47" s="16">
        <f>MIN(G2:G46)</f>
        <v/>
      </c>
      <c r="H47" s="17">
        <f>MIN(H2:H46)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21" customWidth="1" min="3" max="3"/>
    <col width="21" customWidth="1" min="4" max="4"/>
    <col width="22" customWidth="1" min="5" max="5"/>
    <col width="16" customWidth="1" min="6" max="6"/>
  </cols>
  <sheetData>
    <row r="1">
      <c r="A1" s="1" t="inlineStr">
        <is>
          <t>T (K)</t>
        </is>
      </c>
      <c r="B1" s="2" t="inlineStr">
        <is>
          <t>T (°C)</t>
        </is>
      </c>
      <c r="C1" s="2" t="inlineStr">
        <is>
          <t>dG_original (kJ)</t>
        </is>
      </c>
      <c r="D1" s="2" t="inlineStr">
        <is>
          <t>dG_alternative (kJ)</t>
        </is>
      </c>
      <c r="E1" s="2" t="inlineStr">
        <is>
          <t>dG_Fe_oxidation (kJ)</t>
        </is>
      </c>
      <c r="F1" s="3" t="inlineStr">
        <is>
          <t>Cu_capture (%)</t>
        </is>
      </c>
    </row>
    <row r="2">
      <c r="A2" s="4" t="n">
        <v>800</v>
      </c>
      <c r="B2" s="5">
        <f>A2-273.15</f>
        <v/>
      </c>
      <c r="C2" s="6" t="n">
        <v>-271.0318747910243</v>
      </c>
      <c r="D2" s="6" t="n">
        <v>-85.3408526935759</v>
      </c>
      <c r="E2" s="6">
        <f>C2-D2</f>
        <v/>
      </c>
      <c r="F2" s="18">
        <f>D2/C2*100</f>
        <v/>
      </c>
    </row>
    <row r="3">
      <c r="A3" s="8" t="n">
        <v>850</v>
      </c>
      <c r="B3" s="9">
        <f>A3-273.15</f>
        <v/>
      </c>
      <c r="C3" s="10" t="n">
        <v>-262.7141421186505</v>
      </c>
      <c r="D3" s="10" t="n">
        <v>-82.3765844552957</v>
      </c>
      <c r="E3" s="10">
        <f>C3-D3</f>
        <v/>
      </c>
      <c r="F3" s="19">
        <f>D3/C3*100</f>
        <v/>
      </c>
    </row>
    <row r="4">
      <c r="A4" s="4" t="n">
        <v>900</v>
      </c>
      <c r="B4" s="5">
        <f>A4-273.15</f>
        <v/>
      </c>
      <c r="C4" s="6" t="n">
        <v>-253.6389817711887</v>
      </c>
      <c r="D4" s="6" t="n">
        <v>-79.38409696046007</v>
      </c>
      <c r="E4" s="6">
        <f>C4-D4</f>
        <v/>
      </c>
      <c r="F4" s="18">
        <f>D4/C4*100</f>
        <v/>
      </c>
    </row>
    <row r="5">
      <c r="A5" s="8" t="n">
        <v>950</v>
      </c>
      <c r="B5" s="9">
        <f>A5-273.15</f>
        <v/>
      </c>
      <c r="C5" s="10" t="n">
        <v>-244.6334630851566</v>
      </c>
      <c r="D5" s="10" t="n">
        <v>-76.33772444487084</v>
      </c>
      <c r="E5" s="10">
        <f>C5-D5</f>
        <v/>
      </c>
      <c r="F5" s="19">
        <f>D5/C5*100</f>
        <v/>
      </c>
    </row>
    <row r="6">
      <c r="A6" s="4" t="n">
        <v>1000</v>
      </c>
      <c r="B6" s="5">
        <f>A6-273.15</f>
        <v/>
      </c>
      <c r="C6" s="6" t="n">
        <v>-235.6927056654284</v>
      </c>
      <c r="D6" s="6" t="n">
        <v>-73.24796865262697</v>
      </c>
      <c r="E6" s="6">
        <f>C6-D6</f>
        <v/>
      </c>
      <c r="F6" s="18">
        <f>D6/C6*100</f>
        <v/>
      </c>
    </row>
    <row r="7">
      <c r="A7" s="8" t="n">
        <v>1050</v>
      </c>
      <c r="B7" s="9">
        <f>A7-273.15</f>
        <v/>
      </c>
      <c r="C7" s="10" t="n">
        <v>-226.812178289979</v>
      </c>
      <c r="D7" s="10" t="n">
        <v>-70.17877334360895</v>
      </c>
      <c r="E7" s="10">
        <f>C7-D7</f>
        <v/>
      </c>
      <c r="F7" s="19">
        <f>D7/C7*100</f>
        <v/>
      </c>
    </row>
    <row r="8">
      <c r="A8" s="4" t="n">
        <v>1100</v>
      </c>
      <c r="B8" s="5">
        <f>A8-273.15</f>
        <v/>
      </c>
      <c r="C8" s="6" t="n">
        <v>-217.9897230296175</v>
      </c>
      <c r="D8" s="6" t="n">
        <v>-67.14394676614506</v>
      </c>
      <c r="E8" s="6">
        <f>C8-D8</f>
        <v/>
      </c>
      <c r="F8" s="18">
        <f>D8/C8*100</f>
        <v/>
      </c>
    </row>
    <row r="9">
      <c r="A9" s="8" t="n">
        <v>1150</v>
      </c>
      <c r="B9" s="9">
        <f>A9-273.15</f>
        <v/>
      </c>
      <c r="C9" s="10" t="n">
        <v>-209.2246060921538</v>
      </c>
      <c r="D9" s="10" t="n">
        <v>-64.15139270742634</v>
      </c>
      <c r="E9" s="10">
        <f>C9-D9</f>
        <v/>
      </c>
      <c r="F9" s="19">
        <f>D9/C9*100</f>
        <v/>
      </c>
    </row>
    <row r="10">
      <c r="A10" s="4" t="n">
        <v>1200</v>
      </c>
      <c r="B10" s="5">
        <f>A10-273.15</f>
        <v/>
      </c>
      <c r="C10" s="6" t="n">
        <v>-200.5135269605683</v>
      </c>
      <c r="D10" s="6" t="n">
        <v>-61.20673749825312</v>
      </c>
      <c r="E10" s="6">
        <f>C10-D10</f>
        <v/>
      </c>
      <c r="F10" s="18">
        <f>D10/C10*100</f>
        <v/>
      </c>
    </row>
    <row r="11">
      <c r="A11" s="8" t="n">
        <v>1250</v>
      </c>
      <c r="B11" s="9">
        <f>A11-273.15</f>
        <v/>
      </c>
      <c r="C11" s="10" t="n">
        <v>-191.8579424376593</v>
      </c>
      <c r="D11" s="10" t="n">
        <v>-58.31451310632285</v>
      </c>
      <c r="E11" s="10">
        <f>C11-D11</f>
        <v/>
      </c>
      <c r="F11" s="19">
        <f>D11/C11*100</f>
        <v/>
      </c>
    </row>
    <row r="12">
      <c r="A12" s="4" t="n">
        <v>1300</v>
      </c>
      <c r="B12" s="5">
        <f>A12-273.15</f>
        <v/>
      </c>
      <c r="C12" s="6" t="n">
        <v>-183.2592137216339</v>
      </c>
      <c r="D12" s="6" t="n">
        <v>-55.47872237852449</v>
      </c>
      <c r="E12" s="6">
        <f>C12-D12</f>
        <v/>
      </c>
      <c r="F12" s="18">
        <f>D12/C12*100</f>
        <v/>
      </c>
    </row>
    <row r="13">
      <c r="A13" s="8" t="n">
        <v>1350</v>
      </c>
      <c r="B13" s="9">
        <f>A13-273.15</f>
        <v/>
      </c>
      <c r="C13" s="10" t="n">
        <v>-174.7174310201225</v>
      </c>
      <c r="D13" s="10" t="n">
        <v>-52.70306948850025</v>
      </c>
      <c r="E13" s="10">
        <f>C13-D13</f>
        <v/>
      </c>
      <c r="F13" s="19">
        <f>D13/C13*100</f>
        <v/>
      </c>
    </row>
    <row r="14">
      <c r="A14" s="4" t="n">
        <v>1400</v>
      </c>
      <c r="B14" s="5">
        <f>A14-273.15</f>
        <v/>
      </c>
      <c r="C14" s="6" t="n">
        <v>-166.0086884661482</v>
      </c>
      <c r="D14" s="6" t="n">
        <v>-49.76668691877485</v>
      </c>
      <c r="E14" s="6">
        <f>C14-D14</f>
        <v/>
      </c>
      <c r="F14" s="18">
        <f>D14/C14*100</f>
        <v/>
      </c>
    </row>
    <row r="15">
      <c r="A15" s="8" t="n">
        <v>1450</v>
      </c>
      <c r="B15" s="9">
        <f>A15-273.15</f>
        <v/>
      </c>
      <c r="C15" s="10" t="n">
        <v>-157.5645635551985</v>
      </c>
      <c r="D15" s="10" t="n">
        <v>-47.10374937141012</v>
      </c>
      <c r="E15" s="10">
        <f>C15-D15</f>
        <v/>
      </c>
      <c r="F15" s="19">
        <f>D15/C15*100</f>
        <v/>
      </c>
    </row>
    <row r="16">
      <c r="A16" s="4" t="n">
        <v>1500</v>
      </c>
      <c r="B16" s="5">
        <f>A16-273.15</f>
        <v/>
      </c>
      <c r="C16" s="6" t="n">
        <v>-149.6050590697446</v>
      </c>
      <c r="D16" s="6" t="n">
        <v>-44.93649858588353</v>
      </c>
      <c r="E16" s="6">
        <f>C16-D16</f>
        <v/>
      </c>
      <c r="F16" s="18">
        <f>D16/C16*100</f>
        <v/>
      </c>
    </row>
    <row r="17">
      <c r="A17" s="8" t="n">
        <v>1550</v>
      </c>
      <c r="B17" s="9">
        <f>A17-273.15</f>
        <v/>
      </c>
      <c r="C17" s="10" t="n">
        <v>-142.2348822979305</v>
      </c>
      <c r="D17" s="10" t="n">
        <v>-43.37156293155113</v>
      </c>
      <c r="E17" s="10">
        <f>C17-D17</f>
        <v/>
      </c>
      <c r="F17" s="19">
        <f>D17/C17*100</f>
        <v/>
      </c>
    </row>
    <row r="18">
      <c r="A18" s="4" t="n">
        <v>1600</v>
      </c>
      <c r="B18" s="5">
        <f>A18-273.15</f>
        <v/>
      </c>
      <c r="C18" s="6" t="n">
        <v>-135.5066161636098</v>
      </c>
      <c r="D18" s="6" t="n">
        <v>-42.46310407268698</v>
      </c>
      <c r="E18" s="6">
        <f>C18-D18</f>
        <v/>
      </c>
      <c r="F18" s="18">
        <f>D18/C18*100</f>
        <v/>
      </c>
    </row>
    <row r="19">
      <c r="A19" s="8" t="n">
        <v>1650</v>
      </c>
      <c r="B19" s="9">
        <f>A19-273.15</f>
        <v/>
      </c>
      <c r="C19" s="10" t="n">
        <v>-129.2934438795564</v>
      </c>
      <c r="D19" s="10" t="n">
        <v>-42.31467188369786</v>
      </c>
      <c r="E19" s="10">
        <f>C19-D19</f>
        <v/>
      </c>
      <c r="F19" s="19">
        <f>D19/C19*100</f>
        <v/>
      </c>
    </row>
    <row r="20">
      <c r="A20" s="4" t="n">
        <v>1700</v>
      </c>
      <c r="B20" s="5">
        <f>A20-273.15</f>
        <v/>
      </c>
      <c r="C20" s="6" t="n">
        <v>-122.2904987869768</v>
      </c>
      <c r="D20" s="6" t="n">
        <v>-43.19136262170249</v>
      </c>
      <c r="E20" s="6">
        <f>C20-D20</f>
        <v/>
      </c>
      <c r="F20" s="18">
        <f>D20/C20*100</f>
        <v/>
      </c>
    </row>
    <row r="21">
      <c r="A21" s="8" t="n">
        <v>1750</v>
      </c>
      <c r="B21" s="9">
        <f>A21-273.15</f>
        <v/>
      </c>
      <c r="C21" s="10" t="n">
        <v>-116.776722671327</v>
      </c>
      <c r="D21" s="10" t="n">
        <v>-44.59363977112505</v>
      </c>
      <c r="E21" s="10">
        <f>C21-D21</f>
        <v/>
      </c>
      <c r="F21" s="19">
        <f>D21/C21*100</f>
        <v/>
      </c>
    </row>
    <row r="22">
      <c r="A22" s="4" t="n">
        <v>1800</v>
      </c>
      <c r="B22" s="5">
        <f>A22-273.15</f>
        <v/>
      </c>
      <c r="C22" s="6" t="n">
        <v>-111.8803016055257</v>
      </c>
      <c r="D22" s="6" t="n">
        <v>-45.66950958166598</v>
      </c>
      <c r="E22" s="6">
        <f>C22-D22</f>
        <v/>
      </c>
      <c r="F22" s="18">
        <f>D22/C22*100</f>
        <v/>
      </c>
    </row>
    <row r="23">
      <c r="A23" s="8" t="n">
        <v>1850</v>
      </c>
      <c r="B23" s="9">
        <f>A23-273.15</f>
        <v/>
      </c>
      <c r="C23" s="10" t="n">
        <v>-107.1792750143418</v>
      </c>
      <c r="D23" s="10" t="n">
        <v>-46.93259964095638</v>
      </c>
      <c r="E23" s="10">
        <f>C23-D23</f>
        <v/>
      </c>
      <c r="F23" s="19">
        <f>D23/C23*100</f>
        <v/>
      </c>
    </row>
    <row r="24">
      <c r="A24" s="20" t="n">
        <v>1900</v>
      </c>
      <c r="B24" s="21">
        <f>A24-273.15</f>
        <v/>
      </c>
      <c r="C24" s="22" t="n">
        <v>-102.6937816081345</v>
      </c>
      <c r="D24" s="22" t="n">
        <v>-46.71528899386688</v>
      </c>
      <c r="E24" s="22">
        <f>C24-D24</f>
        <v/>
      </c>
      <c r="F24" s="23">
        <f>D24/C24*100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26" customWidth="1" min="3" max="3"/>
    <col width="12" customWidth="1" min="4" max="4"/>
    <col width="17" customWidth="1" min="5" max="5"/>
    <col width="15" customWidth="1" min="6" max="6"/>
    <col width="30" customWidth="1" min="7" max="7"/>
    <col width="16" customWidth="1" min="8" max="8"/>
    <col width="16" customWidth="1" min="9" max="9"/>
    <col width="16" customWidth="1" min="10" max="10"/>
  </cols>
  <sheetData>
    <row r="1">
      <c r="A1" s="24" t="inlineStr">
        <is>
          <t>ACTIVITY CORRECTION PARAMETERS</t>
        </is>
      </c>
    </row>
    <row r="2">
      <c r="A2" s="25" t="inlineStr">
        <is>
          <t>Parameter</t>
        </is>
      </c>
      <c r="B2" s="26" t="inlineStr">
        <is>
          <t>Symbol</t>
        </is>
      </c>
      <c r="C2" s="26" t="inlineStr">
        <is>
          <t>Value</t>
        </is>
      </c>
      <c r="D2" s="27" t="inlineStr">
        <is>
          <t>Unit / Note</t>
        </is>
      </c>
    </row>
    <row r="3">
      <c r="A3" s="28" t="inlineStr">
        <is>
          <t>Cu mole fraction in steel</t>
        </is>
      </c>
      <c r="B3" s="29" t="inlineStr">
        <is>
          <t>X_Cu</t>
        </is>
      </c>
      <c r="C3" s="30" t="n">
        <v>0.003</v>
      </c>
      <c r="D3" s="31" t="inlineStr">
        <is>
          <t>~0.3 wt% Cu</t>
        </is>
      </c>
    </row>
    <row r="4">
      <c r="A4" s="32" t="inlineStr">
        <is>
          <t>Raoultian activity coefficient</t>
        </is>
      </c>
      <c r="B4" s="33" t="inlineStr">
        <is>
          <t>γ_Cu</t>
        </is>
      </c>
      <c r="C4" s="34" t="n">
        <v>8.5</v>
      </c>
      <c r="D4" s="35" t="inlineStr">
        <is>
          <t>Literature range: 5-13</t>
        </is>
      </c>
    </row>
    <row r="5">
      <c r="A5" s="28" t="inlineStr">
        <is>
          <t>Cu activity in liquid Fe</t>
        </is>
      </c>
      <c r="B5" s="29" t="inlineStr">
        <is>
          <t>a_Cu</t>
        </is>
      </c>
      <c r="C5" s="30">
        <f>C3*C4</f>
        <v/>
      </c>
      <c r="D5" s="31" t="inlineStr">
        <is>
          <t>X_Cu × γ_Cu</t>
        </is>
      </c>
    </row>
    <row r="6">
      <c r="A6" s="32" t="inlineStr">
        <is>
          <t>Temperature</t>
        </is>
      </c>
      <c r="B6" s="33" t="inlineStr">
        <is>
          <t>T</t>
        </is>
      </c>
      <c r="C6" s="33" t="n">
        <v>1800</v>
      </c>
      <c r="D6" s="35" t="inlineStr">
        <is>
          <t>K (steelmaking)</t>
        </is>
      </c>
    </row>
    <row r="7">
      <c r="A7" s="28" t="inlineStr">
        <is>
          <t>Gas constant</t>
        </is>
      </c>
      <c r="B7" s="29" t="inlineStr">
        <is>
          <t>R</t>
        </is>
      </c>
      <c r="C7" s="36" t="n">
        <v>8.314</v>
      </c>
      <c r="D7" s="31" t="inlineStr">
        <is>
          <t>J/(mol·K)</t>
        </is>
      </c>
    </row>
    <row r="8">
      <c r="A8" s="37" t="inlineStr">
        <is>
          <t>Penalty per Cu atom consumed</t>
        </is>
      </c>
      <c r="B8" s="38" t="inlineStr">
        <is>
          <t>-RT·ln(a_Cu)</t>
        </is>
      </c>
      <c r="C8" s="39">
        <f>-C7*C6*LN(C5)/1000</f>
        <v/>
      </c>
      <c r="D8" s="40" t="inlineStr">
        <is>
          <t>kJ/mol (positive = less favorable)</t>
        </is>
      </c>
    </row>
    <row r="9"/>
    <row r="10">
      <c r="A10" s="24" t="inlineStr">
        <is>
          <t>ACTIVITY-CORRECTED ΔG AT 1800 K</t>
        </is>
      </c>
    </row>
    <row r="11">
      <c r="A11" s="1" t="inlineStr">
        <is>
          <t>Product</t>
        </is>
      </c>
      <c r="B11" s="2" t="inlineStr">
        <is>
          <t>Parent Oxide</t>
        </is>
      </c>
      <c r="C11" s="2" t="inlineStr">
        <is>
          <t>n_Cu</t>
        </is>
      </c>
      <c r="D11" s="2" t="inlineStr">
        <is>
          <t>ΔG° (kJ)</t>
        </is>
      </c>
      <c r="E11" s="2" t="inlineStr">
        <is>
          <t>Cu Penalty (kJ)</t>
        </is>
      </c>
      <c r="F11" s="2" t="inlineStr">
        <is>
          <t>ΔG_eff (kJ)</t>
        </is>
      </c>
      <c r="G11" s="2" t="inlineStr">
        <is>
          <t>Verdict</t>
        </is>
      </c>
      <c r="H11" s="3" t="inlineStr">
        <is>
          <t>ΔG per Cu (kJ)</t>
        </is>
      </c>
    </row>
    <row r="12">
      <c r="A12" s="4" t="inlineStr">
        <is>
          <t>CuFe2O4</t>
        </is>
      </c>
      <c r="B12" s="12" t="inlineStr">
        <is>
          <t>FeO</t>
        </is>
      </c>
      <c r="C12" s="12" t="n">
        <v>1</v>
      </c>
      <c r="D12" s="41" t="n">
        <v>-111.88</v>
      </c>
      <c r="E12" s="41">
        <f>C12*$C$8</f>
        <v/>
      </c>
      <c r="F12" s="41">
        <f>D12+E12</f>
        <v/>
      </c>
      <c r="G12" s="12">
        <f>IF(F12&lt;-10,"ROBUST",IF(F12&lt;0,"MARGINAL",IF(F12&lt;15,"UNCERTAIN","UNFAVORABLE")))</f>
        <v/>
      </c>
      <c r="H12" s="42">
        <f>D12/C12</f>
        <v/>
      </c>
    </row>
    <row r="13">
      <c r="A13" s="8" t="inlineStr">
        <is>
          <t>CuMn2O4</t>
        </is>
      </c>
      <c r="B13" s="13" t="inlineStr">
        <is>
          <t>MnO</t>
        </is>
      </c>
      <c r="C13" s="13" t="n">
        <v>1</v>
      </c>
      <c r="D13" s="43" t="n">
        <v>-64.44</v>
      </c>
      <c r="E13" s="43">
        <f>C13*$C$8</f>
        <v/>
      </c>
      <c r="F13" s="43">
        <f>D13+E13</f>
        <v/>
      </c>
      <c r="G13" s="13">
        <f>IF(F13&lt;-10,"ROBUST",IF(F13&lt;0,"MARGINAL",IF(F13&lt;15,"UNCERTAIN","UNFAVORABLE")))</f>
        <v/>
      </c>
      <c r="H13" s="44">
        <f>D13/C13</f>
        <v/>
      </c>
    </row>
    <row r="14">
      <c r="A14" s="4" t="inlineStr">
        <is>
          <t>CuB2O4</t>
        </is>
      </c>
      <c r="B14" s="12" t="inlineStr">
        <is>
          <t>B2O3</t>
        </is>
      </c>
      <c r="C14" s="12" t="n">
        <v>1</v>
      </c>
      <c r="D14" s="41" t="n">
        <v>-47.71</v>
      </c>
      <c r="E14" s="41">
        <f>C14*$C$8</f>
        <v/>
      </c>
      <c r="F14" s="41">
        <f>D14+E14</f>
        <v/>
      </c>
      <c r="G14" s="12">
        <f>IF(F14&lt;-10,"ROBUST",IF(F14&lt;0,"MARGINAL",IF(F14&lt;15,"UNCERTAIN","UNFAVORABLE")))</f>
        <v/>
      </c>
      <c r="H14" s="42">
        <f>D14/C14</f>
        <v/>
      </c>
    </row>
    <row r="15">
      <c r="A15" s="8" t="inlineStr">
        <is>
          <t>CuV2O6</t>
        </is>
      </c>
      <c r="B15" s="13" t="inlineStr">
        <is>
          <t>V2O5</t>
        </is>
      </c>
      <c r="C15" s="13" t="n">
        <v>1</v>
      </c>
      <c r="D15" s="43" t="n">
        <v>-44.98</v>
      </c>
      <c r="E15" s="43">
        <f>C15*$C$8</f>
        <v/>
      </c>
      <c r="F15" s="43">
        <f>D15+E15</f>
        <v/>
      </c>
      <c r="G15" s="13">
        <f>IF(F15&lt;-10,"ROBUST",IF(F15&lt;0,"MARGINAL",IF(F15&lt;15,"UNCERTAIN","UNFAVORABLE")))</f>
        <v/>
      </c>
      <c r="H15" s="44">
        <f>D15/C15</f>
        <v/>
      </c>
    </row>
    <row r="16">
      <c r="A16" s="4" t="inlineStr">
        <is>
          <t>CuAl2O4</t>
        </is>
      </c>
      <c r="B16" s="12" t="inlineStr">
        <is>
          <t>Al2O3</t>
        </is>
      </c>
      <c r="C16" s="12" t="n">
        <v>1</v>
      </c>
      <c r="D16" s="41" t="n">
        <v>-32.31</v>
      </c>
      <c r="E16" s="41">
        <f>C16*$C$8</f>
        <v/>
      </c>
      <c r="F16" s="41">
        <f>D16+E16</f>
        <v/>
      </c>
      <c r="G16" s="12">
        <f>IF(F16&lt;-10,"ROBUST",IF(F16&lt;0,"MARGINAL",IF(F16&lt;15,"UNCERTAIN","UNFAVORABLE")))</f>
        <v/>
      </c>
      <c r="H16" s="42">
        <f>D16/C16</f>
        <v/>
      </c>
    </row>
    <row r="17">
      <c r="A17" s="8" t="inlineStr">
        <is>
          <t>Cu3V2O8</t>
        </is>
      </c>
      <c r="B17" s="13" t="inlineStr">
        <is>
          <t>V2O5</t>
        </is>
      </c>
      <c r="C17" s="13" t="n">
        <v>3</v>
      </c>
      <c r="D17" s="43" t="n">
        <v>-109.15</v>
      </c>
      <c r="E17" s="43">
        <f>C17*$C$8</f>
        <v/>
      </c>
      <c r="F17" s="43">
        <f>D17+E17</f>
        <v/>
      </c>
      <c r="G17" s="13">
        <f>IF(F17&lt;-10,"ROBUST",IF(F17&lt;0,"MARGINAL",IF(F17&lt;15,"UNCERTAIN","UNFAVORABLE")))</f>
        <v/>
      </c>
      <c r="H17" s="44">
        <f>D17/C17</f>
        <v/>
      </c>
    </row>
    <row r="18">
      <c r="A18" s="20" t="inlineStr">
        <is>
          <t>Cu2SiO4</t>
        </is>
      </c>
      <c r="B18" s="45" t="inlineStr">
        <is>
          <t>SiO2</t>
        </is>
      </c>
      <c r="C18" s="45" t="n">
        <v>2</v>
      </c>
      <c r="D18" s="46" t="n">
        <v>-52.21</v>
      </c>
      <c r="E18" s="46">
        <f>C18*$C$8</f>
        <v/>
      </c>
      <c r="F18" s="46">
        <f>D18+E18</f>
        <v/>
      </c>
      <c r="G18" s="45">
        <f>IF(F18&lt;-10,"ROBUST",IF(F18&lt;0,"MARGINAL",IF(F18&lt;15,"UNCERTAIN","UNFAVORABLE")))</f>
        <v/>
      </c>
      <c r="H18" s="47">
        <f>D18/C18</f>
        <v/>
      </c>
    </row>
    <row r="19"/>
    <row r="20">
      <c r="A20" s="24" t="inlineStr">
        <is>
          <t>γ_Cu SENSITIVITY ANALYSIS</t>
        </is>
      </c>
    </row>
    <row r="21">
      <c r="A21" s="48" t="inlineStr">
        <is>
          <t>Change γ_Cu in cell C4 above to see all corrections update automatically.</t>
        </is>
      </c>
    </row>
    <row r="22">
      <c r="A22" s="1" t="inlineStr">
        <is>
          <t>γ_Cu</t>
        </is>
      </c>
      <c r="B22" s="2" t="inlineStr">
        <is>
          <t>a_Cu</t>
        </is>
      </c>
      <c r="C22" s="2" t="inlineStr">
        <is>
          <t>Penalty/Cu (kJ)</t>
        </is>
      </c>
      <c r="D22" s="2" t="inlineStr">
        <is>
          <t>ΔG_eff CuFe2O4</t>
        </is>
      </c>
      <c r="E22" s="2" t="inlineStr">
        <is>
          <t>ΔG_eff CuMn2O4</t>
        </is>
      </c>
      <c r="F22" s="2" t="inlineStr">
        <is>
          <t>ΔG_eff CuB2O4</t>
        </is>
      </c>
      <c r="G22" s="2" t="inlineStr">
        <is>
          <t>ΔG_eff CuV2O6</t>
        </is>
      </c>
      <c r="H22" s="2" t="inlineStr">
        <is>
          <t>ΔG_eff CuAl2O4</t>
        </is>
      </c>
      <c r="I22" s="2" t="inlineStr">
        <is>
          <t>ΔG_eff Cu3V2O8</t>
        </is>
      </c>
      <c r="J22" s="3" t="inlineStr">
        <is>
          <t>ΔG_eff Cu2SiO4</t>
        </is>
      </c>
    </row>
    <row r="23">
      <c r="A23" s="49" t="n">
        <v>3</v>
      </c>
      <c r="B23" s="50">
        <f>A23*$C$3</f>
        <v/>
      </c>
      <c r="C23" s="51">
        <f>-$C$7*$C$6*LN(B23)/1000</f>
        <v/>
      </c>
      <c r="D23" s="41">
        <f>-111.88+1*C23</f>
        <v/>
      </c>
      <c r="E23" s="41">
        <f>-64.44+1*C23</f>
        <v/>
      </c>
      <c r="F23" s="41">
        <f>-47.71+1*C23</f>
        <v/>
      </c>
      <c r="G23" s="41">
        <f>-44.98+1*C23</f>
        <v/>
      </c>
      <c r="H23" s="41">
        <f>-32.31+1*C23</f>
        <v/>
      </c>
      <c r="I23" s="41">
        <f>-109.15+3*C23</f>
        <v/>
      </c>
      <c r="J23" s="42">
        <f>-52.21+2*C23</f>
        <v/>
      </c>
    </row>
    <row r="24">
      <c r="A24" s="52" t="n">
        <v>4</v>
      </c>
      <c r="B24" s="53">
        <f>A24*$C$3</f>
        <v/>
      </c>
      <c r="C24" s="54">
        <f>-$C$7*$C$6*LN(B24)/1000</f>
        <v/>
      </c>
      <c r="D24" s="43">
        <f>-111.88+1*C24</f>
        <v/>
      </c>
      <c r="E24" s="43">
        <f>-64.44+1*C24</f>
        <v/>
      </c>
      <c r="F24" s="43">
        <f>-47.71+1*C24</f>
        <v/>
      </c>
      <c r="G24" s="43">
        <f>-44.98+1*C24</f>
        <v/>
      </c>
      <c r="H24" s="43">
        <f>-32.31+1*C24</f>
        <v/>
      </c>
      <c r="I24" s="43">
        <f>-109.15+3*C24</f>
        <v/>
      </c>
      <c r="J24" s="44">
        <f>-52.21+2*C24</f>
        <v/>
      </c>
    </row>
    <row r="25">
      <c r="A25" s="49" t="n">
        <v>5</v>
      </c>
      <c r="B25" s="50">
        <f>A25*$C$3</f>
        <v/>
      </c>
      <c r="C25" s="51">
        <f>-$C$7*$C$6*LN(B25)/1000</f>
        <v/>
      </c>
      <c r="D25" s="41">
        <f>-111.88+1*C25</f>
        <v/>
      </c>
      <c r="E25" s="41">
        <f>-64.44+1*C25</f>
        <v/>
      </c>
      <c r="F25" s="41">
        <f>-47.71+1*C25</f>
        <v/>
      </c>
      <c r="G25" s="41">
        <f>-44.98+1*C25</f>
        <v/>
      </c>
      <c r="H25" s="41">
        <f>-32.31+1*C25</f>
        <v/>
      </c>
      <c r="I25" s="41">
        <f>-109.15+3*C25</f>
        <v/>
      </c>
      <c r="J25" s="42">
        <f>-52.21+2*C25</f>
        <v/>
      </c>
    </row>
    <row r="26">
      <c r="A26" s="52" t="n">
        <v>6</v>
      </c>
      <c r="B26" s="53">
        <f>A26*$C$3</f>
        <v/>
      </c>
      <c r="C26" s="54">
        <f>-$C$7*$C$6*LN(B26)/1000</f>
        <v/>
      </c>
      <c r="D26" s="43">
        <f>-111.88+1*C26</f>
        <v/>
      </c>
      <c r="E26" s="43">
        <f>-64.44+1*C26</f>
        <v/>
      </c>
      <c r="F26" s="43">
        <f>-47.71+1*C26</f>
        <v/>
      </c>
      <c r="G26" s="43">
        <f>-44.98+1*C26</f>
        <v/>
      </c>
      <c r="H26" s="43">
        <f>-32.31+1*C26</f>
        <v/>
      </c>
      <c r="I26" s="43">
        <f>-109.15+3*C26</f>
        <v/>
      </c>
      <c r="J26" s="44">
        <f>-52.21+2*C26</f>
        <v/>
      </c>
    </row>
    <row r="27">
      <c r="A27" s="49" t="n">
        <v>7</v>
      </c>
      <c r="B27" s="50">
        <f>A27*$C$3</f>
        <v/>
      </c>
      <c r="C27" s="51">
        <f>-$C$7*$C$6*LN(B27)/1000</f>
        <v/>
      </c>
      <c r="D27" s="41">
        <f>-111.88+1*C27</f>
        <v/>
      </c>
      <c r="E27" s="41">
        <f>-64.44+1*C27</f>
        <v/>
      </c>
      <c r="F27" s="41">
        <f>-47.71+1*C27</f>
        <v/>
      </c>
      <c r="G27" s="41">
        <f>-44.98+1*C27</f>
        <v/>
      </c>
      <c r="H27" s="41">
        <f>-32.31+1*C27</f>
        <v/>
      </c>
      <c r="I27" s="41">
        <f>-109.15+3*C27</f>
        <v/>
      </c>
      <c r="J27" s="42">
        <f>-52.21+2*C27</f>
        <v/>
      </c>
    </row>
    <row r="28">
      <c r="A28" s="52" t="n">
        <v>8</v>
      </c>
      <c r="B28" s="53">
        <f>A28*$C$3</f>
        <v/>
      </c>
      <c r="C28" s="54">
        <f>-$C$7*$C$6*LN(B28)/1000</f>
        <v/>
      </c>
      <c r="D28" s="43">
        <f>-111.88+1*C28</f>
        <v/>
      </c>
      <c r="E28" s="43">
        <f>-64.44+1*C28</f>
        <v/>
      </c>
      <c r="F28" s="43">
        <f>-47.71+1*C28</f>
        <v/>
      </c>
      <c r="G28" s="43">
        <f>-44.98+1*C28</f>
        <v/>
      </c>
      <c r="H28" s="43">
        <f>-32.31+1*C28</f>
        <v/>
      </c>
      <c r="I28" s="43">
        <f>-109.15+3*C28</f>
        <v/>
      </c>
      <c r="J28" s="44">
        <f>-52.21+2*C28</f>
        <v/>
      </c>
    </row>
    <row r="29">
      <c r="A29" s="49" t="n">
        <v>8.5</v>
      </c>
      <c r="B29" s="50">
        <f>A29*$C$3</f>
        <v/>
      </c>
      <c r="C29" s="51">
        <f>-$C$7*$C$6*LN(B29)/1000</f>
        <v/>
      </c>
      <c r="D29" s="41">
        <f>-111.88+1*C29</f>
        <v/>
      </c>
      <c r="E29" s="41">
        <f>-64.44+1*C29</f>
        <v/>
      </c>
      <c r="F29" s="41">
        <f>-47.71+1*C29</f>
        <v/>
      </c>
      <c r="G29" s="41">
        <f>-44.98+1*C29</f>
        <v/>
      </c>
      <c r="H29" s="41">
        <f>-32.31+1*C29</f>
        <v/>
      </c>
      <c r="I29" s="41">
        <f>-109.15+3*C29</f>
        <v/>
      </c>
      <c r="J29" s="42">
        <f>-52.21+2*C29</f>
        <v/>
      </c>
    </row>
    <row r="30">
      <c r="A30" s="52" t="n">
        <v>9</v>
      </c>
      <c r="B30" s="53">
        <f>A30*$C$3</f>
        <v/>
      </c>
      <c r="C30" s="54">
        <f>-$C$7*$C$6*LN(B30)/1000</f>
        <v/>
      </c>
      <c r="D30" s="43">
        <f>-111.88+1*C30</f>
        <v/>
      </c>
      <c r="E30" s="43">
        <f>-64.44+1*C30</f>
        <v/>
      </c>
      <c r="F30" s="43">
        <f>-47.71+1*C30</f>
        <v/>
      </c>
      <c r="G30" s="43">
        <f>-44.98+1*C30</f>
        <v/>
      </c>
      <c r="H30" s="43">
        <f>-32.31+1*C30</f>
        <v/>
      </c>
      <c r="I30" s="43">
        <f>-109.15+3*C30</f>
        <v/>
      </c>
      <c r="J30" s="44">
        <f>-52.21+2*C30</f>
        <v/>
      </c>
    </row>
    <row r="31">
      <c r="A31" s="49" t="n">
        <v>10</v>
      </c>
      <c r="B31" s="50">
        <f>A31*$C$3</f>
        <v/>
      </c>
      <c r="C31" s="51">
        <f>-$C$7*$C$6*LN(B31)/1000</f>
        <v/>
      </c>
      <c r="D31" s="41">
        <f>-111.88+1*C31</f>
        <v/>
      </c>
      <c r="E31" s="41">
        <f>-64.44+1*C31</f>
        <v/>
      </c>
      <c r="F31" s="41">
        <f>-47.71+1*C31</f>
        <v/>
      </c>
      <c r="G31" s="41">
        <f>-44.98+1*C31</f>
        <v/>
      </c>
      <c r="H31" s="41">
        <f>-32.31+1*C31</f>
        <v/>
      </c>
      <c r="I31" s="41">
        <f>-109.15+3*C31</f>
        <v/>
      </c>
      <c r="J31" s="42">
        <f>-52.21+2*C31</f>
        <v/>
      </c>
    </row>
    <row r="32">
      <c r="A32" s="52" t="n">
        <v>11</v>
      </c>
      <c r="B32" s="53">
        <f>A32*$C$3</f>
        <v/>
      </c>
      <c r="C32" s="54">
        <f>-$C$7*$C$6*LN(B32)/1000</f>
        <v/>
      </c>
      <c r="D32" s="43">
        <f>-111.88+1*C32</f>
        <v/>
      </c>
      <c r="E32" s="43">
        <f>-64.44+1*C32</f>
        <v/>
      </c>
      <c r="F32" s="43">
        <f>-47.71+1*C32</f>
        <v/>
      </c>
      <c r="G32" s="43">
        <f>-44.98+1*C32</f>
        <v/>
      </c>
      <c r="H32" s="43">
        <f>-32.31+1*C32</f>
        <v/>
      </c>
      <c r="I32" s="43">
        <f>-109.15+3*C32</f>
        <v/>
      </c>
      <c r="J32" s="44">
        <f>-52.21+2*C32</f>
        <v/>
      </c>
    </row>
    <row r="33">
      <c r="A33" s="49" t="n">
        <v>12</v>
      </c>
      <c r="B33" s="50">
        <f>A33*$C$3</f>
        <v/>
      </c>
      <c r="C33" s="51">
        <f>-$C$7*$C$6*LN(B33)/1000</f>
        <v/>
      </c>
      <c r="D33" s="41">
        <f>-111.88+1*C33</f>
        <v/>
      </c>
      <c r="E33" s="41">
        <f>-64.44+1*C33</f>
        <v/>
      </c>
      <c r="F33" s="41">
        <f>-47.71+1*C33</f>
        <v/>
      </c>
      <c r="G33" s="41">
        <f>-44.98+1*C33</f>
        <v/>
      </c>
      <c r="H33" s="41">
        <f>-32.31+1*C33</f>
        <v/>
      </c>
      <c r="I33" s="41">
        <f>-109.15+3*C33</f>
        <v/>
      </c>
      <c r="J33" s="42">
        <f>-52.21+2*C33</f>
        <v/>
      </c>
    </row>
    <row r="34">
      <c r="A34" s="52" t="n">
        <v>13</v>
      </c>
      <c r="B34" s="53">
        <f>A34*$C$3</f>
        <v/>
      </c>
      <c r="C34" s="54">
        <f>-$C$7*$C$6*LN(B34)/1000</f>
        <v/>
      </c>
      <c r="D34" s="43">
        <f>-111.88+1*C34</f>
        <v/>
      </c>
      <c r="E34" s="43">
        <f>-64.44+1*C34</f>
        <v/>
      </c>
      <c r="F34" s="43">
        <f>-47.71+1*C34</f>
        <v/>
      </c>
      <c r="G34" s="43">
        <f>-44.98+1*C34</f>
        <v/>
      </c>
      <c r="H34" s="43">
        <f>-32.31+1*C34</f>
        <v/>
      </c>
      <c r="I34" s="43">
        <f>-109.15+3*C34</f>
        <v/>
      </c>
      <c r="J34" s="44">
        <f>-52.21+2*C34</f>
        <v/>
      </c>
    </row>
    <row r="35">
      <c r="A35" s="55" t="n">
        <v>15</v>
      </c>
      <c r="B35" s="56">
        <f>A35*$C$3</f>
        <v/>
      </c>
      <c r="C35" s="57">
        <f>-$C$7*$C$6*LN(B35)/1000</f>
        <v/>
      </c>
      <c r="D35" s="46">
        <f>-111.88+1*C35</f>
        <v/>
      </c>
      <c r="E35" s="46">
        <f>-64.44+1*C35</f>
        <v/>
      </c>
      <c r="F35" s="46">
        <f>-47.71+1*C35</f>
        <v/>
      </c>
      <c r="G35" s="46">
        <f>-44.98+1*C35</f>
        <v/>
      </c>
      <c r="H35" s="46">
        <f>-32.31+1*C35</f>
        <v/>
      </c>
      <c r="I35" s="46">
        <f>-109.15+3*C35</f>
        <v/>
      </c>
      <c r="J35" s="47">
        <f>-52.21+2*C35</f>
        <v/>
      </c>
    </row>
    <row r="37">
      <c r="A37" s="48" t="inlineStr">
        <is>
          <t>NOTE: V₂O₅ can form either Cu₃V₂O₈ (3 Cu, ΔG° = -109.2 kJ) or CuV₂O₆ (1 Cu, ΔG° = -45.0 kJ). Under dilute Cu conditions, CuV₂O₆ is preferred because the 3× penalty makes Cu₃V₂O₈ unfavorable.</t>
        </is>
      </c>
    </row>
    <row r="38">
      <c r="A38" s="48" t="inlineStr">
        <is>
          <t>Bureau of Mines (1960s) used ~1 wt% Cu (a_Cu ≈ 0.13), where both V₂O₅ products are favorable. Their 40-60% removal is consistent with our model.</t>
        </is>
      </c>
    </row>
  </sheetData>
  <mergeCells count="6">
    <mergeCell ref="A21:H21"/>
    <mergeCell ref="A1:G1"/>
    <mergeCell ref="A20:H20"/>
    <mergeCell ref="A38:H38"/>
    <mergeCell ref="A10:H10"/>
    <mergeCell ref="A37:H37"/>
  </mergeCells>
  <conditionalFormatting sqref="D23:D3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E23:E3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F23:F35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G23:G35">
    <cfRule type="cellIs" priority="7" operator="lessThan" dxfId="0">
      <formula>0</formula>
    </cfRule>
    <cfRule type="cellIs" priority="8" operator="greaterThanOrEqual" dxfId="1">
      <formula>0</formula>
    </cfRule>
  </conditionalFormatting>
  <conditionalFormatting sqref="H23:H35">
    <cfRule type="cellIs" priority="9" operator="lessThan" dxfId="0">
      <formula>0</formula>
    </cfRule>
    <cfRule type="cellIs" priority="10" operator="greaterThanOrEqual" dxfId="1">
      <formula>0</formula>
    </cfRule>
  </conditionalFormatting>
  <conditionalFormatting sqref="I23:I35">
    <cfRule type="cellIs" priority="11" operator="lessThan" dxfId="0">
      <formula>0</formula>
    </cfRule>
    <cfRule type="cellIs" priority="12" operator="greaterThanOrEqual" dxfId="1">
      <formula>0</formula>
    </cfRule>
  </conditionalFormatting>
  <conditionalFormatting sqref="J23:J35">
    <cfRule type="cellIs" priority="13" operator="lessThan" dxfId="0">
      <formula>0</formula>
    </cfRule>
    <cfRule type="cellIs" priority="14" operator="greaterThanOrEqual" dxfId="1">
      <formula>0</formula>
    </cfRule>
  </conditionalFormatting>
  <conditionalFormatting sqref="F12:F18">
    <cfRule type="cellIs" priority="15" operator="lessThan" dxfId="0">
      <formula>0</formula>
    </cfRule>
    <cfRule type="cellIs" priority="16" operator="greaterThanOrEqual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9" customWidth="1" min="1" max="1"/>
    <col width="19" customWidth="1" min="2" max="2"/>
    <col width="13" customWidth="1" min="3" max="3"/>
    <col width="15" customWidth="1" min="4" max="4"/>
    <col width="10" customWidth="1" min="5" max="5"/>
  </cols>
  <sheetData>
    <row r="1">
      <c r="A1" s="1" t="inlineStr">
        <is>
          <t>Product</t>
        </is>
      </c>
      <c r="B1" s="2" t="inlineStr">
        <is>
          <t>dG at 1800 K (kJ)</t>
        </is>
      </c>
      <c r="C1" s="2" t="inlineStr">
        <is>
          <t>Named Phase</t>
        </is>
      </c>
      <c r="D1" s="2" t="inlineStr">
        <is>
          <t>Stable To (K)</t>
        </is>
      </c>
      <c r="E1" s="3" t="inlineStr">
        <is>
          <t>Tier</t>
        </is>
      </c>
    </row>
    <row r="2">
      <c r="A2" s="4" t="inlineStr">
        <is>
          <t>CuFe2O4</t>
        </is>
      </c>
      <c r="B2" s="6">
        <f>dG_vs_T!C42</f>
        <v/>
      </c>
      <c r="C2" s="12" t="inlineStr">
        <is>
          <t>SPINEL#1</t>
        </is>
      </c>
      <c r="D2" s="12" t="n">
        <v>1700</v>
      </c>
      <c r="E2" s="58" t="inlineStr">
        <is>
          <t>Strong</t>
        </is>
      </c>
    </row>
    <row r="3">
      <c r="A3" s="8" t="inlineStr">
        <is>
          <t>Cu3V2O8</t>
        </is>
      </c>
      <c r="B3" s="10">
        <f>dG_vs_T!D42</f>
        <v/>
      </c>
      <c r="C3" s="13" t="inlineStr">
        <is>
          <t>(liquid)</t>
        </is>
      </c>
      <c r="D3" s="13" t="inlineStr">
        <is>
          <t>N/A (liquid)</t>
        </is>
      </c>
      <c r="E3" s="59" t="inlineStr">
        <is>
          <t>Strong</t>
        </is>
      </c>
    </row>
    <row r="4">
      <c r="A4" s="4" t="inlineStr">
        <is>
          <t>CuMn2O4</t>
        </is>
      </c>
      <c r="B4" s="6">
        <f>dG_vs_T!E42</f>
        <v/>
      </c>
      <c r="C4" s="12" t="inlineStr">
        <is>
          <t>SPINEL#1</t>
        </is>
      </c>
      <c r="D4" s="12" t="n">
        <v>1700</v>
      </c>
      <c r="E4" s="58" t="inlineStr">
        <is>
          <t>Strong</t>
        </is>
      </c>
    </row>
    <row r="5">
      <c r="A5" s="8" t="inlineStr">
        <is>
          <t>Cu2SiO4</t>
        </is>
      </c>
      <c r="B5" s="10">
        <f>dG_vs_T!F42</f>
        <v/>
      </c>
      <c r="C5" s="13" t="inlineStr">
        <is>
          <t>(liquid)</t>
        </is>
      </c>
      <c r="D5" s="13" t="inlineStr">
        <is>
          <t>N/A (liquid)</t>
        </is>
      </c>
      <c r="E5" s="59" t="inlineStr">
        <is>
          <t>Strong</t>
        </is>
      </c>
    </row>
    <row r="6">
      <c r="A6" s="4" t="inlineStr">
        <is>
          <t>CuB2O4</t>
        </is>
      </c>
      <c r="B6" s="6">
        <f>dG_vs_T!G42</f>
        <v/>
      </c>
      <c r="C6" s="12" t="inlineStr">
        <is>
          <t>CUB2O4#1</t>
        </is>
      </c>
      <c r="D6" s="12" t="n">
        <v>1300</v>
      </c>
      <c r="E6" s="58" t="inlineStr">
        <is>
          <t>Strong</t>
        </is>
      </c>
    </row>
    <row r="7">
      <c r="A7" s="60" t="inlineStr">
        <is>
          <t>CuAl2O4</t>
        </is>
      </c>
      <c r="B7" s="16">
        <f>dG_vs_T!H42</f>
        <v/>
      </c>
      <c r="C7" s="15" t="inlineStr">
        <is>
          <t>SPINEL#1</t>
        </is>
      </c>
      <c r="D7" s="15" t="n">
        <v>1550</v>
      </c>
      <c r="E7" s="61" t="inlineStr">
        <is>
          <t>Moderate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23" customWidth="1" min="4" max="4"/>
    <col width="30" customWidth="1" min="5" max="5"/>
    <col width="24" customWidth="1" min="6" max="6"/>
  </cols>
  <sheetData>
    <row r="1">
      <c r="A1" s="1" t="inlineStr">
        <is>
          <t>System</t>
        </is>
      </c>
      <c r="B1" s="2" t="inlineStr">
        <is>
          <t>Ratio Label</t>
        </is>
      </c>
      <c r="C1" s="2" t="inlineStr">
        <is>
          <t>Ratio Value</t>
        </is>
      </c>
      <c r="D1" s="2" t="inlineStr">
        <is>
          <t>a_Cu</t>
        </is>
      </c>
      <c r="E1" s="2" t="inlineStr">
        <is>
          <t>Stable Phases</t>
        </is>
      </c>
      <c r="F1" s="3" t="inlineStr">
        <is>
          <t>% Change from Baseline</t>
        </is>
      </c>
    </row>
    <row r="2">
      <c r="A2" s="4" t="inlineStr">
        <is>
          <t>Cu-Mn-Si-O</t>
        </is>
      </c>
      <c r="B2" s="12" t="inlineStr">
        <is>
          <t>MnO:SiO2</t>
        </is>
      </c>
      <c r="C2" s="62" t="n">
        <v>0.2</v>
      </c>
      <c r="D2" s="63" t="n">
        <v>0.0006024287195135149</v>
      </c>
      <c r="E2" s="12" t="inlineStr">
        <is>
          <t>CRISTOBALITE#1; IONIC_LIQ#1; IONIC_LIQ#3</t>
        </is>
      </c>
      <c r="F2" s="7" t="n">
        <v>0</v>
      </c>
    </row>
    <row r="3">
      <c r="A3" s="4" t="inlineStr">
        <is>
          <t>Cu-Mn-Si-O</t>
        </is>
      </c>
      <c r="B3" s="12" t="inlineStr">
        <is>
          <t>MnO:SiO2</t>
        </is>
      </c>
      <c r="C3" s="62" t="n">
        <v>0.4</v>
      </c>
      <c r="D3" s="63" t="n">
        <v>0.0005921646682545373</v>
      </c>
      <c r="E3" s="12" t="inlineStr">
        <is>
          <t>CRISTOBALITE#1; IONIC_LIQ#1; IONIC_LIQ#2</t>
        </is>
      </c>
      <c r="F3" s="7">
        <f>(D3-D$2)/D$2*100</f>
        <v/>
      </c>
    </row>
    <row r="4">
      <c r="A4" s="4" t="inlineStr">
        <is>
          <t>Cu-Mn-Si-O</t>
        </is>
      </c>
      <c r="B4" s="12" t="inlineStr">
        <is>
          <t>MnO:SiO2</t>
        </is>
      </c>
      <c r="C4" s="62" t="n">
        <v>0.6</v>
      </c>
      <c r="D4" s="63" t="n">
        <v>0.0005849859614188124</v>
      </c>
      <c r="E4" s="12" t="inlineStr">
        <is>
          <t>CRISTOBALITE#1; IONIC_LIQ#1; IONIC_LIQ#2</t>
        </is>
      </c>
      <c r="F4" s="7">
        <f>(D4-D$2)/D$2*100</f>
        <v/>
      </c>
    </row>
    <row r="5">
      <c r="A5" s="4" t="inlineStr">
        <is>
          <t>Cu-Mn-Si-O</t>
        </is>
      </c>
      <c r="B5" s="12" t="inlineStr">
        <is>
          <t>MnO:SiO2</t>
        </is>
      </c>
      <c r="C5" s="62" t="n">
        <v>0.8</v>
      </c>
      <c r="D5" s="63" t="n">
        <v>0.0005795578709134352</v>
      </c>
      <c r="E5" s="12" t="inlineStr">
        <is>
          <t>CRISTOBALITE#1; IONIC_LIQ#1; IONIC_LIQ#2</t>
        </is>
      </c>
      <c r="F5" s="7">
        <f>(D5-D$2)/D$2*100</f>
        <v/>
      </c>
    </row>
    <row r="6">
      <c r="A6" s="4" t="inlineStr">
        <is>
          <t>Cu-Mn-Si-O</t>
        </is>
      </c>
      <c r="B6" s="12" t="inlineStr">
        <is>
          <t>MnO:SiO2</t>
        </is>
      </c>
      <c r="C6" s="62" t="n">
        <v>1</v>
      </c>
      <c r="D6" s="63" t="n">
        <v>0.0005747540319710688</v>
      </c>
      <c r="E6" s="12" t="inlineStr">
        <is>
          <t>IONIC_LIQ#1; IONIC_LIQ#2</t>
        </is>
      </c>
      <c r="F6" s="7">
        <f>(D6-D$2)/D$2*100</f>
        <v/>
      </c>
    </row>
    <row r="7">
      <c r="A7" s="4" t="inlineStr">
        <is>
          <t>Cu-Mn-Si-O</t>
        </is>
      </c>
      <c r="B7" s="12" t="inlineStr">
        <is>
          <t>MnO:SiO2</t>
        </is>
      </c>
      <c r="C7" s="62" t="n">
        <v>1.2</v>
      </c>
      <c r="D7" s="63" t="n">
        <v>0.0005690086100650586</v>
      </c>
      <c r="E7" s="12" t="inlineStr">
        <is>
          <t>IONIC_LIQ#1; IONIC_LIQ#2</t>
        </is>
      </c>
      <c r="F7" s="7">
        <f>(D7-D$2)/D$2*100</f>
        <v/>
      </c>
    </row>
    <row r="8">
      <c r="A8" s="4" t="inlineStr">
        <is>
          <t>Cu-Mn-Si-O</t>
        </is>
      </c>
      <c r="B8" s="12" t="inlineStr">
        <is>
          <t>MnO:SiO2</t>
        </is>
      </c>
      <c r="C8" s="62" t="n">
        <v>1.4</v>
      </c>
      <c r="D8" s="63" t="n">
        <v>0.0005623991726393003</v>
      </c>
      <c r="E8" s="12" t="inlineStr">
        <is>
          <t>IONIC_LIQ#1; IONIC_LIQ#3</t>
        </is>
      </c>
      <c r="F8" s="7">
        <f>(D8-D$2)/D$2*100</f>
        <v/>
      </c>
    </row>
    <row r="9">
      <c r="A9" s="4" t="inlineStr">
        <is>
          <t>Cu-Mn-Si-O</t>
        </is>
      </c>
      <c r="B9" s="12" t="inlineStr">
        <is>
          <t>MnO:SiO2</t>
        </is>
      </c>
      <c r="C9" s="62" t="n">
        <v>1.6</v>
      </c>
      <c r="D9" s="63" t="n">
        <v>0.0005549646048769486</v>
      </c>
      <c r="E9" s="12" t="inlineStr">
        <is>
          <t>IONIC_LIQ#1; IONIC_LIQ#2</t>
        </is>
      </c>
      <c r="F9" s="7">
        <f>(D9-D$2)/D$2*100</f>
        <v/>
      </c>
    </row>
    <row r="10">
      <c r="A10" s="4" t="inlineStr">
        <is>
          <t>Cu-Mn-Si-O</t>
        </is>
      </c>
      <c r="B10" s="12" t="inlineStr">
        <is>
          <t>MnO:SiO2</t>
        </is>
      </c>
      <c r="C10" s="62" t="n">
        <v>1.8</v>
      </c>
      <c r="D10" s="63" t="n">
        <v>0.0005469620453455369</v>
      </c>
      <c r="E10" s="12" t="inlineStr">
        <is>
          <t>IONIC_LIQ#1; IONIC_LIQ#2</t>
        </is>
      </c>
      <c r="F10" s="7">
        <f>(D10-D$2)/D$2*100</f>
        <v/>
      </c>
    </row>
    <row r="11">
      <c r="A11" s="4" t="inlineStr">
        <is>
          <t>Cu-Mn-Si-O</t>
        </is>
      </c>
      <c r="B11" s="12" t="inlineStr">
        <is>
          <t>MnO:SiO2</t>
        </is>
      </c>
      <c r="C11" s="62" t="n">
        <v>2</v>
      </c>
      <c r="D11" s="63" t="n">
        <v>0.0005386374910615401</v>
      </c>
      <c r="E11" s="12" t="inlineStr">
        <is>
          <t>IONIC_LIQ#1; IONIC_LIQ#2</t>
        </is>
      </c>
      <c r="F11" s="7">
        <f>(D11-D$2)/D$2*100</f>
        <v/>
      </c>
    </row>
    <row r="12">
      <c r="A12" s="4" t="inlineStr">
        <is>
          <t>Cu-Mn-Si-O</t>
        </is>
      </c>
      <c r="B12" s="12" t="inlineStr">
        <is>
          <t>MnO:SiO2</t>
        </is>
      </c>
      <c r="C12" s="62" t="n">
        <v>2.2</v>
      </c>
      <c r="D12" s="63" t="n">
        <v>0.0005302395956835024</v>
      </c>
      <c r="E12" s="12" t="inlineStr">
        <is>
          <t>IONIC_LIQ#1; IONIC_LIQ#3</t>
        </is>
      </c>
      <c r="F12" s="7">
        <f>(D12-D$2)/D$2*100</f>
        <v/>
      </c>
    </row>
    <row r="13">
      <c r="A13" s="4" t="inlineStr">
        <is>
          <t>Cu-Mn-Si-O</t>
        </is>
      </c>
      <c r="B13" s="12" t="inlineStr">
        <is>
          <t>MnO:SiO2</t>
        </is>
      </c>
      <c r="C13" s="62" t="n">
        <v>2.4</v>
      </c>
      <c r="D13" s="63" t="n">
        <v>0.0005220166239764437</v>
      </c>
      <c r="E13" s="12" t="inlineStr">
        <is>
          <t>IONIC_LIQ#1; IONIC_LIQ#2</t>
        </is>
      </c>
      <c r="F13" s="7">
        <f>(D13-D$2)/D$2*100</f>
        <v/>
      </c>
    </row>
    <row r="14">
      <c r="A14" s="4" t="inlineStr">
        <is>
          <t>Cu-Mn-Si-O</t>
        </is>
      </c>
      <c r="B14" s="12" t="inlineStr">
        <is>
          <t>MnO:SiO2</t>
        </is>
      </c>
      <c r="C14" s="62" t="n">
        <v>2.6</v>
      </c>
      <c r="D14" s="63" t="n">
        <v>0.0005141731215264483</v>
      </c>
      <c r="E14" s="12" t="inlineStr">
        <is>
          <t>IONIC_LIQ#1; IONIC_LIQ#2</t>
        </is>
      </c>
      <c r="F14" s="7">
        <f>(D14-D$2)/D$2*100</f>
        <v/>
      </c>
    </row>
    <row r="15">
      <c r="A15" s="4" t="inlineStr">
        <is>
          <t>Cu-Mn-Si-O</t>
        </is>
      </c>
      <c r="B15" s="12" t="inlineStr">
        <is>
          <t>MnO:SiO2</t>
        </is>
      </c>
      <c r="C15" s="62" t="n">
        <v>2.8</v>
      </c>
      <c r="D15" s="63" t="n">
        <v>0.000506844968432079</v>
      </c>
      <c r="E15" s="12" t="inlineStr">
        <is>
          <t>IONIC_LIQ#1; IONIC_LIQ#3</t>
        </is>
      </c>
      <c r="F15" s="7">
        <f>(D15-D$2)/D$2*100</f>
        <v/>
      </c>
    </row>
    <row r="16">
      <c r="A16" s="4" t="inlineStr">
        <is>
          <t>Cu-Mn-Si-O</t>
        </is>
      </c>
      <c r="B16" s="12" t="inlineStr">
        <is>
          <t>MnO:SiO2</t>
        </is>
      </c>
      <c r="C16" s="62" t="n">
        <v>3</v>
      </c>
      <c r="D16" s="63" t="n">
        <v>0.0005001045724686611</v>
      </c>
      <c r="E16" s="12" t="inlineStr">
        <is>
          <t>IONIC_LIQ#1; IONIC_LIQ#3</t>
        </is>
      </c>
      <c r="F16" s="7">
        <f>(D16-D$2)/D$2*100</f>
        <v/>
      </c>
    </row>
    <row r="17">
      <c r="A17" s="8" t="inlineStr">
        <is>
          <t>Cu-Al-Si-O</t>
        </is>
      </c>
      <c r="B17" s="13" t="inlineStr">
        <is>
          <t>Al2O3:SiO2</t>
        </is>
      </c>
      <c r="C17" s="64" t="n">
        <v>0.2</v>
      </c>
      <c r="D17" s="65" t="n">
        <v>0.0006238595135610499</v>
      </c>
      <c r="E17" s="13" t="inlineStr">
        <is>
          <t>CRISTOBALITE#1; IONIC_LIQ#1; MULLITE#1</t>
        </is>
      </c>
      <c r="F17" s="11" t="n">
        <v>0</v>
      </c>
    </row>
    <row r="18">
      <c r="A18" s="8" t="inlineStr">
        <is>
          <t>Cu-Al-Si-O</t>
        </is>
      </c>
      <c r="B18" s="13" t="inlineStr">
        <is>
          <t>Al2O3:SiO2</t>
        </is>
      </c>
      <c r="C18" s="64" t="n">
        <v>0.4</v>
      </c>
      <c r="D18" s="65" t="n">
        <v>0.0006238595135610499</v>
      </c>
      <c r="E18" s="13" t="inlineStr">
        <is>
          <t>CRISTOBALITE#1; IONIC_LIQ#1; MULLITE#1</t>
        </is>
      </c>
      <c r="F18" s="11">
        <f>(D18-D$17)/D$17*100</f>
        <v/>
      </c>
    </row>
    <row r="19">
      <c r="A19" s="8" t="inlineStr">
        <is>
          <t>Cu-Al-Si-O</t>
        </is>
      </c>
      <c r="B19" s="13" t="inlineStr">
        <is>
          <t>Al2O3:SiO2</t>
        </is>
      </c>
      <c r="C19" s="64" t="n">
        <v>0.6</v>
      </c>
      <c r="D19" s="65" t="n">
        <v>0.0006238595135610521</v>
      </c>
      <c r="E19" s="13" t="inlineStr">
        <is>
          <t>CRISTOBALITE#1; IONIC_LIQ#1; MULLITE#1</t>
        </is>
      </c>
      <c r="F19" s="11">
        <f>(D19-D$17)/D$17*100</f>
        <v/>
      </c>
    </row>
    <row r="20">
      <c r="A20" s="8" t="inlineStr">
        <is>
          <t>Cu-Al-Si-O</t>
        </is>
      </c>
      <c r="B20" s="13" t="inlineStr">
        <is>
          <t>Al2O3:SiO2</t>
        </is>
      </c>
      <c r="C20" s="64" t="n">
        <v>0.8</v>
      </c>
      <c r="D20" s="65" t="n">
        <v>0.0006238595135610521</v>
      </c>
      <c r="E20" s="13" t="inlineStr">
        <is>
          <t>CRISTOBALITE#1; IONIC_LIQ#1; MULLITE#1</t>
        </is>
      </c>
      <c r="F20" s="11">
        <f>(D20-D$17)/D$17*100</f>
        <v/>
      </c>
    </row>
    <row r="21">
      <c r="A21" s="8" t="inlineStr">
        <is>
          <t>Cu-Al-Si-O</t>
        </is>
      </c>
      <c r="B21" s="13" t="inlineStr">
        <is>
          <t>Al2O3:SiO2</t>
        </is>
      </c>
      <c r="C21" s="64" t="n">
        <v>1</v>
      </c>
      <c r="D21" s="65" t="n">
        <v>0.0006238595135610521</v>
      </c>
      <c r="E21" s="13" t="inlineStr">
        <is>
          <t>CRISTOBALITE#1; IONIC_LIQ#1; MULLITE#1</t>
        </is>
      </c>
      <c r="F21" s="11">
        <f>(D21-D$17)/D$17*100</f>
        <v/>
      </c>
    </row>
    <row r="22">
      <c r="A22" s="8" t="inlineStr">
        <is>
          <t>Cu-Al-Si-O</t>
        </is>
      </c>
      <c r="B22" s="13" t="inlineStr">
        <is>
          <t>Al2O3:SiO2</t>
        </is>
      </c>
      <c r="C22" s="64" t="n">
        <v>1.2</v>
      </c>
      <c r="D22" s="65" t="n">
        <v>0.0006238595135610504</v>
      </c>
      <c r="E22" s="13" t="inlineStr">
        <is>
          <t>CRISTOBALITE#1; IONIC_LIQ#1; MULLITE#1</t>
        </is>
      </c>
      <c r="F22" s="11">
        <f>(D22-D$17)/D$17*100</f>
        <v/>
      </c>
    </row>
    <row r="23">
      <c r="A23" s="8" t="inlineStr">
        <is>
          <t>Cu-Al-Si-O</t>
        </is>
      </c>
      <c r="B23" s="13" t="inlineStr">
        <is>
          <t>Al2O3:SiO2</t>
        </is>
      </c>
      <c r="C23" s="64" t="n">
        <v>1.4</v>
      </c>
      <c r="D23" s="65" t="n">
        <v>0.0006238595135610504</v>
      </c>
      <c r="E23" s="13" t="inlineStr">
        <is>
          <t>CRISTOBALITE#1; IONIC_LIQ#1; MULLITE#1</t>
        </is>
      </c>
      <c r="F23" s="11">
        <f>(D23-D$17)/D$17*100</f>
        <v/>
      </c>
    </row>
    <row r="24">
      <c r="A24" s="8" t="inlineStr">
        <is>
          <t>Cu-Al-Si-O</t>
        </is>
      </c>
      <c r="B24" s="13" t="inlineStr">
        <is>
          <t>Al2O3:SiO2</t>
        </is>
      </c>
      <c r="C24" s="64" t="n">
        <v>1.6</v>
      </c>
      <c r="D24" s="65" t="n">
        <v>0.0006240110028708597</v>
      </c>
      <c r="E24" s="13" t="inlineStr">
        <is>
          <t>IONIC_LIQ#1; MULLITE#1</t>
        </is>
      </c>
      <c r="F24" s="11">
        <f>(D24-D$17)/D$17*100</f>
        <v/>
      </c>
    </row>
    <row r="25">
      <c r="A25" s="8" t="inlineStr">
        <is>
          <t>Cu-Al-Si-O</t>
        </is>
      </c>
      <c r="B25" s="13" t="inlineStr">
        <is>
          <t>Al2O3:SiO2</t>
        </is>
      </c>
      <c r="C25" s="64" t="n">
        <v>1.8</v>
      </c>
      <c r="D25" s="65" t="n">
        <v>0.0006240764395684967</v>
      </c>
      <c r="E25" s="13" t="inlineStr">
        <is>
          <t>CORUNDUM#1; IONIC_LIQ#1; MULLITE#1</t>
        </is>
      </c>
      <c r="F25" s="11">
        <f>(D25-D$17)/D$17*100</f>
        <v/>
      </c>
    </row>
    <row r="26">
      <c r="A26" s="8" t="inlineStr">
        <is>
          <t>Cu-Al-Si-O</t>
        </is>
      </c>
      <c r="B26" s="13" t="inlineStr">
        <is>
          <t>Al2O3:SiO2</t>
        </is>
      </c>
      <c r="C26" s="64" t="n">
        <v>2</v>
      </c>
      <c r="D26" s="65" t="n">
        <v>0.0006240764395684967</v>
      </c>
      <c r="E26" s="13" t="inlineStr">
        <is>
          <t>CORUNDUM#1; IONIC_LIQ#1; MULLITE#1</t>
        </is>
      </c>
      <c r="F26" s="11">
        <f>(D26-D$17)/D$17*100</f>
        <v/>
      </c>
    </row>
    <row r="27">
      <c r="A27" s="8" t="inlineStr">
        <is>
          <t>Cu-Al-Si-O</t>
        </is>
      </c>
      <c r="B27" s="13" t="inlineStr">
        <is>
          <t>Al2O3:SiO2</t>
        </is>
      </c>
      <c r="C27" s="64" t="n">
        <v>2.2</v>
      </c>
      <c r="D27" s="65" t="n">
        <v>0.0006240764395684956</v>
      </c>
      <c r="E27" s="13" t="inlineStr">
        <is>
          <t>CORUNDUM#1; IONIC_LIQ#1; MULLITE#1</t>
        </is>
      </c>
      <c r="F27" s="11">
        <f>(D27-D$17)/D$17*100</f>
        <v/>
      </c>
    </row>
    <row r="28">
      <c r="A28" s="8" t="inlineStr">
        <is>
          <t>Cu-Al-Si-O</t>
        </is>
      </c>
      <c r="B28" s="13" t="inlineStr">
        <is>
          <t>Al2O3:SiO2</t>
        </is>
      </c>
      <c r="C28" s="64" t="n">
        <v>2.4</v>
      </c>
      <c r="D28" s="65" t="n">
        <v>0.0006240764395684967</v>
      </c>
      <c r="E28" s="13" t="inlineStr">
        <is>
          <t>CORUNDUM#1; IONIC_LIQ#1; MULLITE#1</t>
        </is>
      </c>
      <c r="F28" s="11">
        <f>(D28-D$17)/D$17*100</f>
        <v/>
      </c>
    </row>
    <row r="29">
      <c r="A29" s="8" t="inlineStr">
        <is>
          <t>Cu-Al-Si-O</t>
        </is>
      </c>
      <c r="B29" s="13" t="inlineStr">
        <is>
          <t>Al2O3:SiO2</t>
        </is>
      </c>
      <c r="C29" s="64" t="n">
        <v>2.6</v>
      </c>
      <c r="D29" s="65" t="n">
        <v>0.0006240764395684967</v>
      </c>
      <c r="E29" s="13" t="inlineStr">
        <is>
          <t>CORUNDUM#1; IONIC_LIQ#1; MULLITE#1</t>
        </is>
      </c>
      <c r="F29" s="11">
        <f>(D29-D$17)/D$17*100</f>
        <v/>
      </c>
    </row>
    <row r="30">
      <c r="A30" s="8" t="inlineStr">
        <is>
          <t>Cu-Al-Si-O</t>
        </is>
      </c>
      <c r="B30" s="13" t="inlineStr">
        <is>
          <t>Al2O3:SiO2</t>
        </is>
      </c>
      <c r="C30" s="64" t="n">
        <v>2.8</v>
      </c>
      <c r="D30" s="65" t="n">
        <v>0.0006240764395684973</v>
      </c>
      <c r="E30" s="13" t="inlineStr">
        <is>
          <t>CORUNDUM#1; IONIC_LIQ#1; MULLITE#1</t>
        </is>
      </c>
      <c r="F30" s="11">
        <f>(D30-D$17)/D$17*100</f>
        <v/>
      </c>
    </row>
    <row r="31">
      <c r="A31" s="60" t="inlineStr">
        <is>
          <t>Cu-Al-Si-O</t>
        </is>
      </c>
      <c r="B31" s="15" t="inlineStr">
        <is>
          <t>Al2O3:SiO2</t>
        </is>
      </c>
      <c r="C31" s="66" t="n">
        <v>3</v>
      </c>
      <c r="D31" s="67" t="n">
        <v>0.0006240764395684973</v>
      </c>
      <c r="E31" s="15" t="inlineStr">
        <is>
          <t>CORUNDUM#1; IONIC_LIQ#1; MULLITE#1</t>
        </is>
      </c>
      <c r="F31" s="17">
        <f>(D31-D$17)/D$17*100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24" customWidth="1" min="7" max="7"/>
    <col width="30" customWidth="1" min="8" max="8"/>
  </cols>
  <sheetData>
    <row r="1">
      <c r="A1" s="1" t="inlineStr">
        <is>
          <t>System</t>
        </is>
      </c>
      <c r="B1" s="2" t="inlineStr">
        <is>
          <t>Oxide</t>
        </is>
      </c>
      <c r="C1" s="2" t="inlineStr">
        <is>
          <t>T (K)</t>
        </is>
      </c>
      <c r="D1" s="2" t="inlineStr">
        <is>
          <t>X_Cu</t>
        </is>
      </c>
      <c r="E1" s="2" t="inlineStr">
        <is>
          <t>X_M</t>
        </is>
      </c>
      <c r="F1" s="2" t="inlineStr">
        <is>
          <t>X_O</t>
        </is>
      </c>
      <c r="G1" s="2" t="inlineStr">
        <is>
          <t>a_Cu</t>
        </is>
      </c>
      <c r="H1" s="3" t="inlineStr">
        <is>
          <t>Stable Phases</t>
        </is>
      </c>
    </row>
    <row r="2">
      <c r="A2" s="4" t="inlineStr">
        <is>
          <t>Cu-Al-O</t>
        </is>
      </c>
      <c r="B2" s="12" t="inlineStr">
        <is>
          <t>Al2O3</t>
        </is>
      </c>
      <c r="C2" s="12" t="n">
        <v>1800</v>
      </c>
      <c r="D2" s="68" t="n">
        <v>0.9</v>
      </c>
      <c r="E2" s="68" t="n">
        <v>0.04</v>
      </c>
      <c r="F2" s="68" t="n">
        <v>0.06</v>
      </c>
      <c r="G2" s="63" t="n">
        <v>0.0006242415932771841</v>
      </c>
      <c r="H2" s="58" t="inlineStr">
        <is>
          <t>CORUNDUM#1; IONIC_LIQ#1</t>
        </is>
      </c>
    </row>
    <row r="3">
      <c r="A3" s="4" t="inlineStr">
        <is>
          <t>Cu-Al-O</t>
        </is>
      </c>
      <c r="B3" s="12" t="inlineStr">
        <is>
          <t>Al2O3</t>
        </is>
      </c>
      <c r="C3" s="12" t="n">
        <v>1800</v>
      </c>
      <c r="D3" s="68" t="n">
        <v>0.855263</v>
      </c>
      <c r="E3" s="68" t="n">
        <v>0.057895</v>
      </c>
      <c r="F3" s="68" t="n">
        <v>0.086842</v>
      </c>
      <c r="G3" s="63" t="n">
        <v>0.000624241593277183</v>
      </c>
      <c r="H3" s="58" t="inlineStr">
        <is>
          <t>CORUNDUM#1; IONIC_LIQ#1</t>
        </is>
      </c>
    </row>
    <row r="4">
      <c r="A4" s="4" t="inlineStr">
        <is>
          <t>Cu-Al-O</t>
        </is>
      </c>
      <c r="B4" s="12" t="inlineStr">
        <is>
          <t>Al2O3</t>
        </is>
      </c>
      <c r="C4" s="12" t="n">
        <v>1800</v>
      </c>
      <c r="D4" s="68" t="n">
        <v>0.810526</v>
      </c>
      <c r="E4" s="68" t="n">
        <v>0.075789</v>
      </c>
      <c r="F4" s="68" t="n">
        <v>0.113684</v>
      </c>
      <c r="G4" s="63" t="n">
        <v>0.0006242415932771836</v>
      </c>
      <c r="H4" s="58" t="inlineStr">
        <is>
          <t>CORUNDUM#1; IONIC_LIQ#1</t>
        </is>
      </c>
    </row>
    <row r="5">
      <c r="A5" s="4" t="inlineStr">
        <is>
          <t>Cu-Al-O</t>
        </is>
      </c>
      <c r="B5" s="12" t="inlineStr">
        <is>
          <t>Al2O3</t>
        </is>
      </c>
      <c r="C5" s="12" t="n">
        <v>1800</v>
      </c>
      <c r="D5" s="68" t="n">
        <v>0.7657890000000001</v>
      </c>
      <c r="E5" s="68" t="n">
        <v>0.093684</v>
      </c>
      <c r="F5" s="68" t="n">
        <v>0.140526</v>
      </c>
      <c r="G5" s="63" t="n">
        <v>0.0006242415932771836</v>
      </c>
      <c r="H5" s="58" t="inlineStr">
        <is>
          <t>CORUNDUM#1; IONIC_LIQ#1</t>
        </is>
      </c>
    </row>
    <row r="6">
      <c r="A6" s="4" t="inlineStr">
        <is>
          <t>Cu-Al-O</t>
        </is>
      </c>
      <c r="B6" s="12" t="inlineStr">
        <is>
          <t>Al2O3</t>
        </is>
      </c>
      <c r="C6" s="12" t="n">
        <v>1800</v>
      </c>
      <c r="D6" s="68" t="n">
        <v>0.7210530000000001</v>
      </c>
      <c r="E6" s="68" t="n">
        <v>0.111579</v>
      </c>
      <c r="F6" s="68" t="n">
        <v>0.167368</v>
      </c>
      <c r="G6" s="63" t="n">
        <v>0.0006242415932771846</v>
      </c>
      <c r="H6" s="58" t="inlineStr">
        <is>
          <t>CORUNDUM#1; IONIC_LIQ#1</t>
        </is>
      </c>
    </row>
    <row r="7">
      <c r="A7" s="4" t="inlineStr">
        <is>
          <t>Cu-Al-O</t>
        </is>
      </c>
      <c r="B7" s="12" t="inlineStr">
        <is>
          <t>Al2O3</t>
        </is>
      </c>
      <c r="C7" s="12" t="n">
        <v>1800</v>
      </c>
      <c r="D7" s="68" t="n">
        <v>0.676316</v>
      </c>
      <c r="E7" s="68" t="n">
        <v>0.129474</v>
      </c>
      <c r="F7" s="68" t="n">
        <v>0.194211</v>
      </c>
      <c r="G7" s="63" t="n">
        <v>0.0006242415932771836</v>
      </c>
      <c r="H7" s="58" t="inlineStr">
        <is>
          <t>CORUNDUM#1; IONIC_LIQ#1</t>
        </is>
      </c>
    </row>
    <row r="8">
      <c r="A8" s="4" t="inlineStr">
        <is>
          <t>Cu-Al-O</t>
        </is>
      </c>
      <c r="B8" s="12" t="inlineStr">
        <is>
          <t>Al2O3</t>
        </is>
      </c>
      <c r="C8" s="12" t="n">
        <v>1800</v>
      </c>
      <c r="D8" s="68" t="n">
        <v>0.631579</v>
      </c>
      <c r="E8" s="68" t="n">
        <v>0.147368</v>
      </c>
      <c r="F8" s="68" t="n">
        <v>0.221053</v>
      </c>
      <c r="G8" s="63" t="n">
        <v>0.0006242415932771836</v>
      </c>
      <c r="H8" s="58" t="inlineStr">
        <is>
          <t>CORUNDUM#1; IONIC_LIQ#1</t>
        </is>
      </c>
    </row>
    <row r="9">
      <c r="A9" s="4" t="inlineStr">
        <is>
          <t>Cu-Al-O</t>
        </is>
      </c>
      <c r="B9" s="12" t="inlineStr">
        <is>
          <t>Al2O3</t>
        </is>
      </c>
      <c r="C9" s="12" t="n">
        <v>1800</v>
      </c>
      <c r="D9" s="68" t="n">
        <v>0.586842</v>
      </c>
      <c r="E9" s="68" t="n">
        <v>0.165263</v>
      </c>
      <c r="F9" s="68" t="n">
        <v>0.247895</v>
      </c>
      <c r="G9" s="63" t="n">
        <v>0.0006242415932771836</v>
      </c>
      <c r="H9" s="58" t="inlineStr">
        <is>
          <t>CORUNDUM#1; IONIC_LIQ#1</t>
        </is>
      </c>
    </row>
    <row r="10">
      <c r="A10" s="4" t="inlineStr">
        <is>
          <t>Cu-Al-O</t>
        </is>
      </c>
      <c r="B10" s="12" t="inlineStr">
        <is>
          <t>Al2O3</t>
        </is>
      </c>
      <c r="C10" s="12" t="n">
        <v>1800</v>
      </c>
      <c r="D10" s="68" t="n">
        <v>0.5421049999999999</v>
      </c>
      <c r="E10" s="68" t="n">
        <v>0.183158</v>
      </c>
      <c r="F10" s="68" t="n">
        <v>0.274737</v>
      </c>
      <c r="G10" s="63" t="n">
        <v>0.0006242415932771825</v>
      </c>
      <c r="H10" s="58" t="inlineStr">
        <is>
          <t>CORUNDUM#1; IONIC_LIQ#1</t>
        </is>
      </c>
    </row>
    <row r="11">
      <c r="A11" s="4" t="inlineStr">
        <is>
          <t>Cu-Al-O</t>
        </is>
      </c>
      <c r="B11" s="12" t="inlineStr">
        <is>
          <t>Al2O3</t>
        </is>
      </c>
      <c r="C11" s="12" t="n">
        <v>1800</v>
      </c>
      <c r="D11" s="68" t="n">
        <v>0.497368</v>
      </c>
      <c r="E11" s="68" t="n">
        <v>0.201053</v>
      </c>
      <c r="F11" s="68" t="n">
        <v>0.301579</v>
      </c>
      <c r="G11" s="63" t="n">
        <v>0.0006242415932771836</v>
      </c>
      <c r="H11" s="58" t="inlineStr">
        <is>
          <t>CORUNDUM#1; IONIC_LIQ#1</t>
        </is>
      </c>
    </row>
    <row r="12">
      <c r="A12" s="4" t="inlineStr">
        <is>
          <t>Cu-Al-O</t>
        </is>
      </c>
      <c r="B12" s="12" t="inlineStr">
        <is>
          <t>Al2O3</t>
        </is>
      </c>
      <c r="C12" s="12" t="n">
        <v>1800</v>
      </c>
      <c r="D12" s="68" t="n">
        <v>0.452632</v>
      </c>
      <c r="E12" s="68" t="n">
        <v>0.218947</v>
      </c>
      <c r="F12" s="68" t="n">
        <v>0.328421</v>
      </c>
      <c r="G12" s="63" t="n">
        <v>0.0006242415932771836</v>
      </c>
      <c r="H12" s="58" t="inlineStr">
        <is>
          <t>CORUNDUM#1; IONIC_LIQ#1</t>
        </is>
      </c>
    </row>
    <row r="13">
      <c r="A13" s="4" t="inlineStr">
        <is>
          <t>Cu-Al-O</t>
        </is>
      </c>
      <c r="B13" s="12" t="inlineStr">
        <is>
          <t>Al2O3</t>
        </is>
      </c>
      <c r="C13" s="12" t="n">
        <v>1800</v>
      </c>
      <c r="D13" s="68" t="n">
        <v>0.407895</v>
      </c>
      <c r="E13" s="68" t="n">
        <v>0.236842</v>
      </c>
      <c r="F13" s="68" t="n">
        <v>0.355263</v>
      </c>
      <c r="G13" s="63" t="n">
        <v>0.000624241593277183</v>
      </c>
      <c r="H13" s="58" t="inlineStr">
        <is>
          <t>CORUNDUM#1; IONIC_LIQ#1</t>
        </is>
      </c>
    </row>
    <row r="14">
      <c r="A14" s="4" t="inlineStr">
        <is>
          <t>Cu-Al-O</t>
        </is>
      </c>
      <c r="B14" s="12" t="inlineStr">
        <is>
          <t>Al2O3</t>
        </is>
      </c>
      <c r="C14" s="12" t="n">
        <v>1800</v>
      </c>
      <c r="D14" s="68" t="n">
        <v>0.363158</v>
      </c>
      <c r="E14" s="68" t="n">
        <v>0.254737</v>
      </c>
      <c r="F14" s="68" t="n">
        <v>0.382105</v>
      </c>
      <c r="G14" s="63" t="n">
        <v>0.0006242415932771836</v>
      </c>
      <c r="H14" s="58" t="inlineStr">
        <is>
          <t>CORUNDUM#1; IONIC_LIQ#1</t>
        </is>
      </c>
    </row>
    <row r="15">
      <c r="A15" s="4" t="inlineStr">
        <is>
          <t>Cu-Al-O</t>
        </is>
      </c>
      <c r="B15" s="12" t="inlineStr">
        <is>
          <t>Al2O3</t>
        </is>
      </c>
      <c r="C15" s="12" t="n">
        <v>1800</v>
      </c>
      <c r="D15" s="68" t="n">
        <v>0.318421</v>
      </c>
      <c r="E15" s="68" t="n">
        <v>0.272632</v>
      </c>
      <c r="F15" s="68" t="n">
        <v>0.408947</v>
      </c>
      <c r="G15" s="63" t="n">
        <v>0.0006242415932771846</v>
      </c>
      <c r="H15" s="58" t="inlineStr">
        <is>
          <t>CORUNDUM#1; IONIC_LIQ#1</t>
        </is>
      </c>
    </row>
    <row r="16">
      <c r="A16" s="4" t="inlineStr">
        <is>
          <t>Cu-Al-O</t>
        </is>
      </c>
      <c r="B16" s="12" t="inlineStr">
        <is>
          <t>Al2O3</t>
        </is>
      </c>
      <c r="C16" s="12" t="n">
        <v>1800</v>
      </c>
      <c r="D16" s="68" t="n">
        <v>0.273684</v>
      </c>
      <c r="E16" s="68" t="n">
        <v>0.290526</v>
      </c>
      <c r="F16" s="68" t="n">
        <v>0.435789</v>
      </c>
      <c r="G16" s="63" t="n">
        <v>0.000624241593277183</v>
      </c>
      <c r="H16" s="58" t="inlineStr">
        <is>
          <t>CORUNDUM#1; IONIC_LIQ#1</t>
        </is>
      </c>
    </row>
    <row r="17">
      <c r="A17" s="4" t="inlineStr">
        <is>
          <t>Cu-Al-O</t>
        </is>
      </c>
      <c r="B17" s="12" t="inlineStr">
        <is>
          <t>Al2O3</t>
        </is>
      </c>
      <c r="C17" s="12" t="n">
        <v>1800</v>
      </c>
      <c r="D17" s="68" t="n">
        <v>0.228947</v>
      </c>
      <c r="E17" s="68" t="n">
        <v>0.308421</v>
      </c>
      <c r="F17" s="68" t="n">
        <v>0.462632</v>
      </c>
      <c r="G17" s="63" t="n">
        <v>0.0006242415932771825</v>
      </c>
      <c r="H17" s="58" t="inlineStr">
        <is>
          <t>CORUNDUM#1; IONIC_LIQ#1</t>
        </is>
      </c>
    </row>
    <row r="18">
      <c r="A18" s="4" t="inlineStr">
        <is>
          <t>Cu-Al-O</t>
        </is>
      </c>
      <c r="B18" s="12" t="inlineStr">
        <is>
          <t>Al2O3</t>
        </is>
      </c>
      <c r="C18" s="12" t="n">
        <v>1800</v>
      </c>
      <c r="D18" s="68" t="n">
        <v>0.184211</v>
      </c>
      <c r="E18" s="68" t="n">
        <v>0.326316</v>
      </c>
      <c r="F18" s="68" t="n">
        <v>0.489474</v>
      </c>
      <c r="G18" s="63" t="n">
        <v>0.0006242415932771825</v>
      </c>
      <c r="H18" s="58" t="inlineStr">
        <is>
          <t>CORUNDUM#1; IONIC_LIQ#1</t>
        </is>
      </c>
    </row>
    <row r="19">
      <c r="A19" s="4" t="inlineStr">
        <is>
          <t>Cu-Al-O</t>
        </is>
      </c>
      <c r="B19" s="12" t="inlineStr">
        <is>
          <t>Al2O3</t>
        </is>
      </c>
      <c r="C19" s="12" t="n">
        <v>1800</v>
      </c>
      <c r="D19" s="68" t="n">
        <v>0.139474</v>
      </c>
      <c r="E19" s="68" t="n">
        <v>0.344211</v>
      </c>
      <c r="F19" s="68" t="n">
        <v>0.516316</v>
      </c>
      <c r="G19" s="63" t="n">
        <v>0.000624241593277183</v>
      </c>
      <c r="H19" s="58" t="inlineStr">
        <is>
          <t>CORUNDUM#1; IONIC_LIQ#1</t>
        </is>
      </c>
    </row>
    <row r="20">
      <c r="A20" s="4" t="inlineStr">
        <is>
          <t>Cu-Al-O</t>
        </is>
      </c>
      <c r="B20" s="12" t="inlineStr">
        <is>
          <t>Al2O3</t>
        </is>
      </c>
      <c r="C20" s="12" t="n">
        <v>1800</v>
      </c>
      <c r="D20" s="68" t="n">
        <v>0.094737</v>
      </c>
      <c r="E20" s="68" t="n">
        <v>0.362105</v>
      </c>
      <c r="F20" s="68" t="n">
        <v>0.543158</v>
      </c>
      <c r="G20" s="63" t="n">
        <v>0.0006242415932771825</v>
      </c>
      <c r="H20" s="58" t="inlineStr">
        <is>
          <t>CORUNDUM#1; IONIC_LIQ#1</t>
        </is>
      </c>
    </row>
    <row r="21">
      <c r="A21" s="4" t="inlineStr">
        <is>
          <t>Cu-Al-O</t>
        </is>
      </c>
      <c r="B21" s="12" t="inlineStr">
        <is>
          <t>Al2O3</t>
        </is>
      </c>
      <c r="C21" s="12" t="n">
        <v>1800</v>
      </c>
      <c r="D21" s="68" t="n">
        <v>0.05</v>
      </c>
      <c r="E21" s="68" t="n">
        <v>0.38</v>
      </c>
      <c r="F21" s="68" t="n">
        <v>0.57</v>
      </c>
      <c r="G21" s="63" t="n">
        <v>0.0006242415932771841</v>
      </c>
      <c r="H21" s="58" t="inlineStr">
        <is>
          <t>CORUNDUM#1; IONIC_LIQ#1</t>
        </is>
      </c>
    </row>
    <row r="22">
      <c r="A22" s="8" t="inlineStr">
        <is>
          <t>Cu-Mn-O</t>
        </is>
      </c>
      <c r="B22" s="13" t="inlineStr">
        <is>
          <t>MnO</t>
        </is>
      </c>
      <c r="C22" s="13" t="n">
        <v>1800</v>
      </c>
      <c r="D22" s="69" t="n">
        <v>0.9</v>
      </c>
      <c r="E22" s="69" t="n">
        <v>0.05</v>
      </c>
      <c r="F22" s="69" t="n">
        <v>0.05</v>
      </c>
      <c r="G22" s="65" t="n">
        <v>0.0006234486982757811</v>
      </c>
      <c r="H22" s="59" t="inlineStr">
        <is>
          <t>HALITE#1; IONIC_LIQ#1</t>
        </is>
      </c>
    </row>
    <row r="23">
      <c r="A23" s="8" t="inlineStr">
        <is>
          <t>Cu-Mn-O</t>
        </is>
      </c>
      <c r="B23" s="13" t="inlineStr">
        <is>
          <t>MnO</t>
        </is>
      </c>
      <c r="C23" s="13" t="n">
        <v>1800</v>
      </c>
      <c r="D23" s="69" t="n">
        <v>0.855263</v>
      </c>
      <c r="E23" s="69" t="n">
        <v>0.072368</v>
      </c>
      <c r="F23" s="69" t="n">
        <v>0.072368</v>
      </c>
      <c r="G23" s="65" t="n">
        <v>0.0006234240698697985</v>
      </c>
      <c r="H23" s="59" t="inlineStr">
        <is>
          <t>HALITE#1; IONIC_LIQ#1</t>
        </is>
      </c>
    </row>
    <row r="24">
      <c r="A24" s="8" t="inlineStr">
        <is>
          <t>Cu-Mn-O</t>
        </is>
      </c>
      <c r="B24" s="13" t="inlineStr">
        <is>
          <t>MnO</t>
        </is>
      </c>
      <c r="C24" s="13" t="n">
        <v>1800</v>
      </c>
      <c r="D24" s="69" t="n">
        <v>0.810526</v>
      </c>
      <c r="E24" s="69" t="n">
        <v>0.094737</v>
      </c>
      <c r="F24" s="69" t="n">
        <v>0.094737</v>
      </c>
      <c r="G24" s="65" t="n">
        <v>0.000623390113702764</v>
      </c>
      <c r="H24" s="59" t="inlineStr">
        <is>
          <t>HALITE#1; IONIC_LIQ#1</t>
        </is>
      </c>
    </row>
    <row r="25">
      <c r="A25" s="8" t="inlineStr">
        <is>
          <t>Cu-Mn-O</t>
        </is>
      </c>
      <c r="B25" s="13" t="inlineStr">
        <is>
          <t>MnO</t>
        </is>
      </c>
      <c r="C25" s="13" t="n">
        <v>1800</v>
      </c>
      <c r="D25" s="69" t="n">
        <v>0.7657890000000001</v>
      </c>
      <c r="E25" s="69" t="n">
        <v>0.117105</v>
      </c>
      <c r="F25" s="69" t="n">
        <v>0.117105</v>
      </c>
      <c r="G25" s="65" t="n">
        <v>0.0006233465051459715</v>
      </c>
      <c r="H25" s="59" t="inlineStr">
        <is>
          <t>HALITE#1; IONIC_LIQ#1</t>
        </is>
      </c>
    </row>
    <row r="26">
      <c r="A26" s="8" t="inlineStr">
        <is>
          <t>Cu-Mn-O</t>
        </is>
      </c>
      <c r="B26" s="13" t="inlineStr">
        <is>
          <t>MnO</t>
        </is>
      </c>
      <c r="C26" s="13" t="n">
        <v>1800</v>
      </c>
      <c r="D26" s="69" t="n">
        <v>0.7210530000000001</v>
      </c>
      <c r="E26" s="69" t="n">
        <v>0.139474</v>
      </c>
      <c r="F26" s="69" t="n">
        <v>0.139474</v>
      </c>
      <c r="G26" s="65" t="n">
        <v>0.0006232927260585453</v>
      </c>
      <c r="H26" s="59" t="inlineStr">
        <is>
          <t>HALITE#1; IONIC_LIQ#1</t>
        </is>
      </c>
    </row>
    <row r="27">
      <c r="A27" s="8" t="inlineStr">
        <is>
          <t>Cu-Mn-O</t>
        </is>
      </c>
      <c r="B27" s="13" t="inlineStr">
        <is>
          <t>MnO</t>
        </is>
      </c>
      <c r="C27" s="13" t="n">
        <v>1800</v>
      </c>
      <c r="D27" s="69" t="n">
        <v>0.676316</v>
      </c>
      <c r="E27" s="69" t="n">
        <v>0.161842</v>
      </c>
      <c r="F27" s="69" t="n">
        <v>0.161842</v>
      </c>
      <c r="G27" s="65" t="n">
        <v>0.0006232279909242769</v>
      </c>
      <c r="H27" s="59" t="inlineStr">
        <is>
          <t>HALITE#1; IONIC_LIQ#1</t>
        </is>
      </c>
    </row>
    <row r="28">
      <c r="A28" s="8" t="inlineStr">
        <is>
          <t>Cu-Mn-O</t>
        </is>
      </c>
      <c r="B28" s="13" t="inlineStr">
        <is>
          <t>MnO</t>
        </is>
      </c>
      <c r="C28" s="13" t="n">
        <v>1800</v>
      </c>
      <c r="D28" s="69" t="n">
        <v>0.631579</v>
      </c>
      <c r="E28" s="69" t="n">
        <v>0.184211</v>
      </c>
      <c r="F28" s="69" t="n">
        <v>0.184211</v>
      </c>
      <c r="G28" s="65" t="n">
        <v>0.0006231511590811589</v>
      </c>
      <c r="H28" s="59" t="inlineStr">
        <is>
          <t>HALITE#1; IONIC_LIQ#1</t>
        </is>
      </c>
    </row>
    <row r="29">
      <c r="A29" s="8" t="inlineStr">
        <is>
          <t>Cu-Mn-O</t>
        </is>
      </c>
      <c r="B29" s="13" t="inlineStr">
        <is>
          <t>MnO</t>
        </is>
      </c>
      <c r="C29" s="13" t="n">
        <v>1800</v>
      </c>
      <c r="D29" s="69" t="n">
        <v>0.586842</v>
      </c>
      <c r="E29" s="69" t="n">
        <v>0.206579</v>
      </c>
      <c r="F29" s="69" t="n">
        <v>0.206579</v>
      </c>
      <c r="G29" s="65" t="n">
        <v>0.0006230606192890642</v>
      </c>
      <c r="H29" s="59" t="inlineStr">
        <is>
          <t>HALITE#1; IONIC_LIQ#1</t>
        </is>
      </c>
    </row>
    <row r="30">
      <c r="A30" s="8" t="inlineStr">
        <is>
          <t>Cu-Mn-O</t>
        </is>
      </c>
      <c r="B30" s="13" t="inlineStr">
        <is>
          <t>MnO</t>
        </is>
      </c>
      <c r="C30" s="13" t="n">
        <v>1800</v>
      </c>
      <c r="D30" s="69" t="n">
        <v>0.5421049999999999</v>
      </c>
      <c r="E30" s="69" t="n">
        <v>0.228947</v>
      </c>
      <c r="F30" s="69" t="n">
        <v>0.228947</v>
      </c>
      <c r="G30" s="65" t="n">
        <v>0.0006229541258469519</v>
      </c>
      <c r="H30" s="59" t="inlineStr">
        <is>
          <t>HALITE#1; IONIC_LIQ#1</t>
        </is>
      </c>
    </row>
    <row r="31">
      <c r="A31" s="8" t="inlineStr">
        <is>
          <t>Cu-Mn-O</t>
        </is>
      </c>
      <c r="B31" s="13" t="inlineStr">
        <is>
          <t>MnO</t>
        </is>
      </c>
      <c r="C31" s="13" t="n">
        <v>1800</v>
      </c>
      <c r="D31" s="69" t="n">
        <v>0.497368</v>
      </c>
      <c r="E31" s="69" t="n">
        <v>0.251316</v>
      </c>
      <c r="F31" s="69" t="n">
        <v>0.251316</v>
      </c>
      <c r="G31" s="65" t="n">
        <v>0.0006228285531386366</v>
      </c>
      <c r="H31" s="59" t="inlineStr">
        <is>
          <t>HALITE#1; IONIC_LIQ#1</t>
        </is>
      </c>
    </row>
    <row r="32">
      <c r="A32" s="8" t="inlineStr">
        <is>
          <t>Cu-Mn-O</t>
        </is>
      </c>
      <c r="B32" s="13" t="inlineStr">
        <is>
          <t>MnO</t>
        </is>
      </c>
      <c r="C32" s="13" t="n">
        <v>1800</v>
      </c>
      <c r="D32" s="69" t="n">
        <v>0.452632</v>
      </c>
      <c r="E32" s="69" t="n">
        <v>0.273684</v>
      </c>
      <c r="F32" s="69" t="n">
        <v>0.273684</v>
      </c>
      <c r="G32" s="65" t="n">
        <v>0.0006226795122556773</v>
      </c>
      <c r="H32" s="59" t="inlineStr">
        <is>
          <t>HALITE#1; IONIC_LIQ#1</t>
        </is>
      </c>
    </row>
    <row r="33">
      <c r="A33" s="8" t="inlineStr">
        <is>
          <t>Cu-Mn-O</t>
        </is>
      </c>
      <c r="B33" s="13" t="inlineStr">
        <is>
          <t>MnO</t>
        </is>
      </c>
      <c r="C33" s="13" t="n">
        <v>1800</v>
      </c>
      <c r="D33" s="69" t="n">
        <v>0.407895</v>
      </c>
      <c r="E33" s="69" t="n">
        <v>0.296053</v>
      </c>
      <c r="F33" s="69" t="n">
        <v>0.296053</v>
      </c>
      <c r="G33" s="65" t="n">
        <v>0.000622500727556083</v>
      </c>
      <c r="H33" s="59" t="inlineStr">
        <is>
          <t>HALITE#1; IONIC_LIQ#1</t>
        </is>
      </c>
    </row>
    <row r="34">
      <c r="A34" s="8" t="inlineStr">
        <is>
          <t>Cu-Mn-O</t>
        </is>
      </c>
      <c r="B34" s="13" t="inlineStr">
        <is>
          <t>MnO</t>
        </is>
      </c>
      <c r="C34" s="13" t="n">
        <v>1800</v>
      </c>
      <c r="D34" s="69" t="n">
        <v>0.363158</v>
      </c>
      <c r="E34" s="69" t="n">
        <v>0.318421</v>
      </c>
      <c r="F34" s="69" t="n">
        <v>0.318421</v>
      </c>
      <c r="G34" s="65" t="n">
        <v>0.0006222829760272391</v>
      </c>
      <c r="H34" s="59" t="inlineStr">
        <is>
          <t>HALITE#1; IONIC_LIQ#1</t>
        </is>
      </c>
    </row>
    <row r="35">
      <c r="A35" s="8" t="inlineStr">
        <is>
          <t>Cu-Mn-O</t>
        </is>
      </c>
      <c r="B35" s="13" t="inlineStr">
        <is>
          <t>MnO</t>
        </is>
      </c>
      <c r="C35" s="13" t="n">
        <v>1800</v>
      </c>
      <c r="D35" s="69" t="n">
        <v>0.318421</v>
      </c>
      <c r="E35" s="69" t="n">
        <v>0.340789</v>
      </c>
      <c r="F35" s="69" t="n">
        <v>0.340789</v>
      </c>
      <c r="G35" s="65" t="n">
        <v>0.0006220121819606671</v>
      </c>
      <c r="H35" s="59" t="inlineStr">
        <is>
          <t>HALITE#1; IONIC_LIQ#1</t>
        </is>
      </c>
    </row>
    <row r="36">
      <c r="A36" s="8" t="inlineStr">
        <is>
          <t>Cu-Mn-O</t>
        </is>
      </c>
      <c r="B36" s="13" t="inlineStr">
        <is>
          <t>MnO</t>
        </is>
      </c>
      <c r="C36" s="13" t="n">
        <v>1800</v>
      </c>
      <c r="D36" s="69" t="n">
        <v>0.273684</v>
      </c>
      <c r="E36" s="69" t="n">
        <v>0.363158</v>
      </c>
      <c r="F36" s="69" t="n">
        <v>0.363158</v>
      </c>
      <c r="G36" s="65" t="n">
        <v>0.0006216657532754782</v>
      </c>
      <c r="H36" s="59" t="inlineStr">
        <is>
          <t>HALITE#1; IONIC_LIQ#1</t>
        </is>
      </c>
    </row>
    <row r="37">
      <c r="A37" s="8" t="inlineStr">
        <is>
          <t>Cu-Mn-O</t>
        </is>
      </c>
      <c r="B37" s="13" t="inlineStr">
        <is>
          <t>MnO</t>
        </is>
      </c>
      <c r="C37" s="13" t="n">
        <v>1800</v>
      </c>
      <c r="D37" s="69" t="n">
        <v>0.228947</v>
      </c>
      <c r="E37" s="69" t="n">
        <v>0.385526</v>
      </c>
      <c r="F37" s="69" t="n">
        <v>0.385526</v>
      </c>
      <c r="G37" s="65" t="n">
        <v>0.0006212048918444731</v>
      </c>
      <c r="H37" s="59" t="inlineStr">
        <is>
          <t>HALITE#1; IONIC_LIQ#1</t>
        </is>
      </c>
    </row>
    <row r="38">
      <c r="A38" s="8" t="inlineStr">
        <is>
          <t>Cu-Mn-O</t>
        </is>
      </c>
      <c r="B38" s="13" t="inlineStr">
        <is>
          <t>MnO</t>
        </is>
      </c>
      <c r="C38" s="13" t="n">
        <v>1800</v>
      </c>
      <c r="D38" s="69" t="n">
        <v>0.184211</v>
      </c>
      <c r="E38" s="69" t="n">
        <v>0.407895</v>
      </c>
      <c r="F38" s="69" t="n">
        <v>0.407895</v>
      </c>
      <c r="G38" s="65" t="n">
        <v>0.0006205564490138872</v>
      </c>
      <c r="H38" s="59" t="inlineStr">
        <is>
          <t>HALITE#1; IONIC_LIQ#1</t>
        </is>
      </c>
    </row>
    <row r="39">
      <c r="A39" s="8" t="inlineStr">
        <is>
          <t>Cu-Mn-O</t>
        </is>
      </c>
      <c r="B39" s="13" t="inlineStr">
        <is>
          <t>MnO</t>
        </is>
      </c>
      <c r="C39" s="13" t="n">
        <v>1800</v>
      </c>
      <c r="D39" s="69" t="n">
        <v>0.139474</v>
      </c>
      <c r="E39" s="69" t="n">
        <v>0.430263</v>
      </c>
      <c r="F39" s="69" t="n">
        <v>0.430263</v>
      </c>
      <c r="G39" s="65" t="n">
        <v>0.0006195624103164132</v>
      </c>
      <c r="H39" s="59" t="inlineStr">
        <is>
          <t>HALITE#1; IONIC_LIQ#1</t>
        </is>
      </c>
    </row>
    <row r="40">
      <c r="A40" s="8" t="inlineStr">
        <is>
          <t>Cu-Mn-O</t>
        </is>
      </c>
      <c r="B40" s="13" t="inlineStr">
        <is>
          <t>MnO</t>
        </is>
      </c>
      <c r="C40" s="13" t="n">
        <v>1800</v>
      </c>
      <c r="D40" s="69" t="n">
        <v>0.094737</v>
      </c>
      <c r="E40" s="69" t="n">
        <v>0.452632</v>
      </c>
      <c r="F40" s="69" t="n">
        <v>0.452632</v>
      </c>
      <c r="G40" s="65" t="n">
        <v>0.0006177982099275926</v>
      </c>
      <c r="H40" s="59" t="inlineStr">
        <is>
          <t>HALITE#1; IONIC_LIQ#1</t>
        </is>
      </c>
    </row>
    <row r="41">
      <c r="A41" s="8" t="inlineStr">
        <is>
          <t>Cu-Mn-O</t>
        </is>
      </c>
      <c r="B41" s="13" t="inlineStr">
        <is>
          <t>MnO</t>
        </is>
      </c>
      <c r="C41" s="13" t="n">
        <v>1800</v>
      </c>
      <c r="D41" s="69" t="n">
        <v>0.05</v>
      </c>
      <c r="E41" s="69" t="n">
        <v>0.475</v>
      </c>
      <c r="F41" s="69" t="n">
        <v>0.475</v>
      </c>
      <c r="G41" s="65" t="n">
        <v>0.0006135214100988033</v>
      </c>
      <c r="H41" s="59" t="inlineStr">
        <is>
          <t>HALITE#1; IONIC_LIQ#1</t>
        </is>
      </c>
    </row>
    <row r="42">
      <c r="A42" s="4" t="inlineStr">
        <is>
          <t>Cu-Fe-O</t>
        </is>
      </c>
      <c r="B42" s="12" t="inlineStr">
        <is>
          <t>FeO</t>
        </is>
      </c>
      <c r="C42" s="12" t="n">
        <v>1800</v>
      </c>
      <c r="D42" s="68" t="n">
        <v>0.9</v>
      </c>
      <c r="E42" s="68" t="n">
        <v>0.05</v>
      </c>
      <c r="F42" s="68" t="n">
        <v>0.05</v>
      </c>
      <c r="G42" s="63" t="n">
        <v>0.0006192201975493238</v>
      </c>
      <c r="H42" s="58" t="inlineStr">
        <is>
          <t>IONIC_LIQ#1; IONIC_LIQ#2</t>
        </is>
      </c>
    </row>
    <row r="43">
      <c r="A43" s="4" t="inlineStr">
        <is>
          <t>Cu-Fe-O</t>
        </is>
      </c>
      <c r="B43" s="12" t="inlineStr">
        <is>
          <t>FeO</t>
        </is>
      </c>
      <c r="C43" s="12" t="n">
        <v>1800</v>
      </c>
      <c r="D43" s="68" t="n">
        <v>0.855263</v>
      </c>
      <c r="E43" s="68" t="n">
        <v>0.072368</v>
      </c>
      <c r="F43" s="68" t="n">
        <v>0.072368</v>
      </c>
      <c r="G43" s="63" t="n">
        <v>0.0006178389962257873</v>
      </c>
      <c r="H43" s="58" t="inlineStr">
        <is>
          <t>IONIC_LIQ#1; IONIC_LIQ#2</t>
        </is>
      </c>
    </row>
    <row r="44">
      <c r="A44" s="4" t="inlineStr">
        <is>
          <t>Cu-Fe-O</t>
        </is>
      </c>
      <c r="B44" s="12" t="inlineStr">
        <is>
          <t>FeO</t>
        </is>
      </c>
      <c r="C44" s="12" t="n">
        <v>1800</v>
      </c>
      <c r="D44" s="68" t="n">
        <v>0.810526</v>
      </c>
      <c r="E44" s="68" t="n">
        <v>0.094737</v>
      </c>
      <c r="F44" s="68" t="n">
        <v>0.094737</v>
      </c>
      <c r="G44" s="63" t="n">
        <v>0.0006164156519341792</v>
      </c>
      <c r="H44" s="58" t="inlineStr">
        <is>
          <t>IONIC_LIQ#1; IONIC_LIQ#2</t>
        </is>
      </c>
    </row>
    <row r="45">
      <c r="A45" s="4" t="inlineStr">
        <is>
          <t>Cu-Fe-O</t>
        </is>
      </c>
      <c r="B45" s="12" t="inlineStr">
        <is>
          <t>FeO</t>
        </is>
      </c>
      <c r="C45" s="12" t="n">
        <v>1800</v>
      </c>
      <c r="D45" s="68" t="n">
        <v>0.7657890000000001</v>
      </c>
      <c r="E45" s="68" t="n">
        <v>0.117105</v>
      </c>
      <c r="F45" s="68" t="n">
        <v>0.117105</v>
      </c>
      <c r="G45" s="63" t="n">
        <v>0.0006149434371808388</v>
      </c>
      <c r="H45" s="58" t="inlineStr">
        <is>
          <t>IONIC_LIQ#1; IONIC_LIQ#2</t>
        </is>
      </c>
    </row>
    <row r="46">
      <c r="A46" s="4" t="inlineStr">
        <is>
          <t>Cu-Fe-O</t>
        </is>
      </c>
      <c r="B46" s="12" t="inlineStr">
        <is>
          <t>FeO</t>
        </is>
      </c>
      <c r="C46" s="12" t="n">
        <v>1800</v>
      </c>
      <c r="D46" s="68" t="n">
        <v>0.7210530000000001</v>
      </c>
      <c r="E46" s="68" t="n">
        <v>0.139474</v>
      </c>
      <c r="F46" s="68" t="n">
        <v>0.139474</v>
      </c>
      <c r="G46" s="63" t="n">
        <v>0.0006134086362605692</v>
      </c>
      <c r="H46" s="58" t="inlineStr">
        <is>
          <t>IONIC_LIQ#1; IONIC_LIQ#2</t>
        </is>
      </c>
    </row>
    <row r="47">
      <c r="A47" s="4" t="inlineStr">
        <is>
          <t>Cu-Fe-O</t>
        </is>
      </c>
      <c r="B47" s="12" t="inlineStr">
        <is>
          <t>FeO</t>
        </is>
      </c>
      <c r="C47" s="12" t="n">
        <v>1800</v>
      </c>
      <c r="D47" s="68" t="n">
        <v>0.676316</v>
      </c>
      <c r="E47" s="68" t="n">
        <v>0.161842</v>
      </c>
      <c r="F47" s="68" t="n">
        <v>0.161842</v>
      </c>
      <c r="G47" s="63" t="n">
        <v>0.000611794507683605</v>
      </c>
      <c r="H47" s="58" t="inlineStr">
        <is>
          <t>IONIC_LIQ#1; IONIC_LIQ#2</t>
        </is>
      </c>
    </row>
    <row r="48">
      <c r="A48" s="4" t="inlineStr">
        <is>
          <t>Cu-Fe-O</t>
        </is>
      </c>
      <c r="B48" s="12" t="inlineStr">
        <is>
          <t>FeO</t>
        </is>
      </c>
      <c r="C48" s="12" t="n">
        <v>1800</v>
      </c>
      <c r="D48" s="68" t="n">
        <v>0.631579</v>
      </c>
      <c r="E48" s="68" t="n">
        <v>0.184211</v>
      </c>
      <c r="F48" s="68" t="n">
        <v>0.184211</v>
      </c>
      <c r="G48" s="63" t="n">
        <v>0.0006100815926117644</v>
      </c>
      <c r="H48" s="58" t="inlineStr">
        <is>
          <t>IONIC_LIQ#1; IONIC_LIQ#2</t>
        </is>
      </c>
    </row>
    <row r="49">
      <c r="A49" s="4" t="inlineStr">
        <is>
          <t>Cu-Fe-O</t>
        </is>
      </c>
      <c r="B49" s="12" t="inlineStr">
        <is>
          <t>FeO</t>
        </is>
      </c>
      <c r="C49" s="12" t="n">
        <v>1800</v>
      </c>
      <c r="D49" s="68" t="n">
        <v>0.586842</v>
      </c>
      <c r="E49" s="68" t="n">
        <v>0.206579</v>
      </c>
      <c r="F49" s="68" t="n">
        <v>0.206579</v>
      </c>
      <c r="G49" s="63" t="n">
        <v>0.0006082469669095847</v>
      </c>
      <c r="H49" s="58" t="inlineStr">
        <is>
          <t>IONIC_LIQ#1; IONIC_LIQ#3</t>
        </is>
      </c>
    </row>
    <row r="50">
      <c r="A50" s="4" t="inlineStr">
        <is>
          <t>Cu-Fe-O</t>
        </is>
      </c>
      <c r="B50" s="12" t="inlineStr">
        <is>
          <t>FeO</t>
        </is>
      </c>
      <c r="C50" s="12" t="n">
        <v>1800</v>
      </c>
      <c r="D50" s="68" t="n">
        <v>0.5421049999999999</v>
      </c>
      <c r="E50" s="68" t="n">
        <v>0.228947</v>
      </c>
      <c r="F50" s="68" t="n">
        <v>0.228947</v>
      </c>
      <c r="G50" s="63" t="n">
        <v>0.0006062629201632612</v>
      </c>
      <c r="H50" s="58" t="inlineStr">
        <is>
          <t>IONIC_LIQ#1; IONIC_LIQ#3</t>
        </is>
      </c>
    </row>
    <row r="51">
      <c r="A51" s="4" t="inlineStr">
        <is>
          <t>Cu-Fe-O</t>
        </is>
      </c>
      <c r="B51" s="12" t="inlineStr">
        <is>
          <t>FeO</t>
        </is>
      </c>
      <c r="C51" s="12" t="n">
        <v>1800</v>
      </c>
      <c r="D51" s="68" t="n">
        <v>0.497368</v>
      </c>
      <c r="E51" s="68" t="n">
        <v>0.251316</v>
      </c>
      <c r="F51" s="68" t="n">
        <v>0.251316</v>
      </c>
      <c r="G51" s="63" t="n">
        <v>0.0006040950268609877</v>
      </c>
      <c r="H51" s="58" t="inlineStr">
        <is>
          <t>IONIC_LIQ#1; IONIC_LIQ#3</t>
        </is>
      </c>
    </row>
    <row r="52">
      <c r="A52" s="4" t="inlineStr">
        <is>
          <t>Cu-Fe-O</t>
        </is>
      </c>
      <c r="B52" s="12" t="inlineStr">
        <is>
          <t>FeO</t>
        </is>
      </c>
      <c r="C52" s="12" t="n">
        <v>1800</v>
      </c>
      <c r="D52" s="68" t="n">
        <v>0.452632</v>
      </c>
      <c r="E52" s="68" t="n">
        <v>0.273684</v>
      </c>
      <c r="F52" s="68" t="n">
        <v>0.273684</v>
      </c>
      <c r="G52" s="63" t="n">
        <v>0.00060169933822934</v>
      </c>
      <c r="H52" s="58" t="inlineStr">
        <is>
          <t>IONIC_LIQ#1; IONIC_LIQ#3</t>
        </is>
      </c>
    </row>
    <row r="53">
      <c r="A53" s="4" t="inlineStr">
        <is>
          <t>Cu-Fe-O</t>
        </is>
      </c>
      <c r="B53" s="12" t="inlineStr">
        <is>
          <t>FeO</t>
        </is>
      </c>
      <c r="C53" s="12" t="n">
        <v>1800</v>
      </c>
      <c r="D53" s="68" t="n">
        <v>0.407895</v>
      </c>
      <c r="E53" s="68" t="n">
        <v>0.296053</v>
      </c>
      <c r="F53" s="68" t="n">
        <v>0.296053</v>
      </c>
      <c r="G53" s="63" t="n">
        <v>0.0005990181736125742</v>
      </c>
      <c r="H53" s="58" t="inlineStr">
        <is>
          <t>IONIC_LIQ#1; IONIC_LIQ#3</t>
        </is>
      </c>
    </row>
    <row r="54">
      <c r="A54" s="4" t="inlineStr">
        <is>
          <t>Cu-Fe-O</t>
        </is>
      </c>
      <c r="B54" s="12" t="inlineStr">
        <is>
          <t>FeO</t>
        </is>
      </c>
      <c r="C54" s="12" t="n">
        <v>1800</v>
      </c>
      <c r="D54" s="68" t="n">
        <v>0.363158</v>
      </c>
      <c r="E54" s="68" t="n">
        <v>0.318421</v>
      </c>
      <c r="F54" s="68" t="n">
        <v>0.318421</v>
      </c>
      <c r="G54" s="63" t="n">
        <v>0.0005959735807338218</v>
      </c>
      <c r="H54" s="58" t="inlineStr">
        <is>
          <t>IONIC_LIQ#1; IONIC_LIQ#3</t>
        </is>
      </c>
    </row>
    <row r="55">
      <c r="A55" s="4" t="inlineStr">
        <is>
          <t>Cu-Fe-O</t>
        </is>
      </c>
      <c r="B55" s="12" t="inlineStr">
        <is>
          <t>FeO</t>
        </is>
      </c>
      <c r="C55" s="12" t="n">
        <v>1800</v>
      </c>
      <c r="D55" s="68" t="n">
        <v>0.318421</v>
      </c>
      <c r="E55" s="68" t="n">
        <v>0.340789</v>
      </c>
      <c r="F55" s="68" t="n">
        <v>0.340789</v>
      </c>
      <c r="G55" s="63" t="n">
        <v>0.0005924567681126914</v>
      </c>
      <c r="H55" s="58" t="inlineStr">
        <is>
          <t>IONIC_LIQ#1; IONIC_LIQ#3</t>
        </is>
      </c>
    </row>
    <row r="56">
      <c r="A56" s="4" t="inlineStr">
        <is>
          <t>Cu-Fe-O</t>
        </is>
      </c>
      <c r="B56" s="12" t="inlineStr">
        <is>
          <t>FeO</t>
        </is>
      </c>
      <c r="C56" s="12" t="n">
        <v>1800</v>
      </c>
      <c r="D56" s="68" t="n">
        <v>0.273684</v>
      </c>
      <c r="E56" s="68" t="n">
        <v>0.363158</v>
      </c>
      <c r="F56" s="68" t="n">
        <v>0.363158</v>
      </c>
      <c r="G56" s="63" t="n">
        <v>0.0005883103133506319</v>
      </c>
      <c r="H56" s="58" t="inlineStr">
        <is>
          <t>IONIC_LIQ#1; IONIC_LIQ#2</t>
        </is>
      </c>
    </row>
    <row r="57">
      <c r="A57" s="4" t="inlineStr">
        <is>
          <t>Cu-Fe-O</t>
        </is>
      </c>
      <c r="B57" s="12" t="inlineStr">
        <is>
          <t>FeO</t>
        </is>
      </c>
      <c r="C57" s="12" t="n">
        <v>1800</v>
      </c>
      <c r="D57" s="68" t="n">
        <v>0.228947</v>
      </c>
      <c r="E57" s="68" t="n">
        <v>0.385526</v>
      </c>
      <c r="F57" s="68" t="n">
        <v>0.385526</v>
      </c>
      <c r="G57" s="63" t="n">
        <v>0.0005832970131890047</v>
      </c>
      <c r="H57" s="58" t="inlineStr">
        <is>
          <t>IONIC_LIQ#1; IONIC_LIQ#2</t>
        </is>
      </c>
    </row>
    <row r="58">
      <c r="A58" s="4" t="inlineStr">
        <is>
          <t>Cu-Fe-O</t>
        </is>
      </c>
      <c r="B58" s="12" t="inlineStr">
        <is>
          <t>FeO</t>
        </is>
      </c>
      <c r="C58" s="12" t="n">
        <v>1800</v>
      </c>
      <c r="D58" s="68" t="n">
        <v>0.184211</v>
      </c>
      <c r="E58" s="68" t="n">
        <v>0.407895</v>
      </c>
      <c r="F58" s="68" t="n">
        <v>0.407895</v>
      </c>
      <c r="G58" s="63" t="n">
        <v>0.0005770442311225281</v>
      </c>
      <c r="H58" s="58" t="inlineStr">
        <is>
          <t>IONIC_LIQ#1; IONIC_LIQ#2</t>
        </is>
      </c>
    </row>
    <row r="59">
      <c r="A59" s="4" t="inlineStr">
        <is>
          <t>Cu-Fe-O</t>
        </is>
      </c>
      <c r="B59" s="12" t="inlineStr">
        <is>
          <t>FeO</t>
        </is>
      </c>
      <c r="C59" s="12" t="n">
        <v>1800</v>
      </c>
      <c r="D59" s="68" t="n">
        <v>0.139474</v>
      </c>
      <c r="E59" s="68" t="n">
        <v>0.430263</v>
      </c>
      <c r="F59" s="68" t="n">
        <v>0.430263</v>
      </c>
      <c r="G59" s="63" t="n">
        <v>0.0005689524243180519</v>
      </c>
      <c r="H59" s="58" t="inlineStr">
        <is>
          <t>IONIC_LIQ#1; IONIC_LIQ#2</t>
        </is>
      </c>
    </row>
    <row r="60">
      <c r="A60" s="4" t="inlineStr">
        <is>
          <t>Cu-Fe-O</t>
        </is>
      </c>
      <c r="B60" s="12" t="inlineStr">
        <is>
          <t>FeO</t>
        </is>
      </c>
      <c r="C60" s="12" t="n">
        <v>1800</v>
      </c>
      <c r="D60" s="68" t="n">
        <v>0.094737</v>
      </c>
      <c r="E60" s="68" t="n">
        <v>0.452632</v>
      </c>
      <c r="F60" s="68" t="n">
        <v>0.452632</v>
      </c>
      <c r="G60" s="63" t="n">
        <v>0.0005581573496582796</v>
      </c>
      <c r="H60" s="58" t="inlineStr">
        <is>
          <t>IONIC_LIQ#1; IONIC_LIQ#3</t>
        </is>
      </c>
    </row>
    <row r="61">
      <c r="A61" s="4" t="inlineStr">
        <is>
          <t>Cu-Fe-O</t>
        </is>
      </c>
      <c r="B61" s="12" t="inlineStr">
        <is>
          <t>FeO</t>
        </is>
      </c>
      <c r="C61" s="12" t="n">
        <v>1800</v>
      </c>
      <c r="D61" s="68" t="n">
        <v>0.05</v>
      </c>
      <c r="E61" s="68" t="n">
        <v>0.475</v>
      </c>
      <c r="F61" s="68" t="n">
        <v>0.475</v>
      </c>
      <c r="G61" s="63" t="n">
        <v>0.0005441813023263959</v>
      </c>
      <c r="H61" s="58" t="inlineStr">
        <is>
          <t>IONIC_LIQ#1; IONIC_LIQ#3</t>
        </is>
      </c>
    </row>
    <row r="62">
      <c r="A62" s="8" t="inlineStr">
        <is>
          <t>Cu-V-O</t>
        </is>
      </c>
      <c r="B62" s="13" t="inlineStr">
        <is>
          <t>V2O5</t>
        </is>
      </c>
      <c r="C62" s="13" t="n">
        <v>1800</v>
      </c>
      <c r="D62" s="69" t="n">
        <v>0.9</v>
      </c>
      <c r="E62" s="69" t="n">
        <v>0.028571</v>
      </c>
      <c r="F62" s="69" t="n">
        <v>0.07142900000000001</v>
      </c>
      <c r="G62" s="65" t="n">
        <v>0.0006089752639324707</v>
      </c>
      <c r="H62" s="59" t="inlineStr">
        <is>
          <t>IONIC_LIQ#1; IONIC_LIQ#2; V3O5_HT#1</t>
        </is>
      </c>
    </row>
    <row r="63">
      <c r="A63" s="8" t="inlineStr">
        <is>
          <t>Cu-V-O</t>
        </is>
      </c>
      <c r="B63" s="13" t="inlineStr">
        <is>
          <t>V2O5</t>
        </is>
      </c>
      <c r="C63" s="13" t="n">
        <v>1800</v>
      </c>
      <c r="D63" s="69" t="n">
        <v>0.855263</v>
      </c>
      <c r="E63" s="69" t="n">
        <v>0.041353</v>
      </c>
      <c r="F63" s="69" t="n">
        <v>0.103383</v>
      </c>
      <c r="G63" s="65" t="n">
        <v>0.0006089752639324707</v>
      </c>
      <c r="H63" s="59" t="inlineStr">
        <is>
          <t>IONIC_LIQ#1; IONIC_LIQ#2; V3O5_HT#1</t>
        </is>
      </c>
    </row>
    <row r="64">
      <c r="A64" s="8" t="inlineStr">
        <is>
          <t>Cu-V-O</t>
        </is>
      </c>
      <c r="B64" s="13" t="inlineStr">
        <is>
          <t>V2O5</t>
        </is>
      </c>
      <c r="C64" s="13" t="n">
        <v>1800</v>
      </c>
      <c r="D64" s="69" t="n">
        <v>0.810526</v>
      </c>
      <c r="E64" s="69" t="n">
        <v>0.054135</v>
      </c>
      <c r="F64" s="69" t="n">
        <v>0.135338</v>
      </c>
      <c r="G64" s="65" t="n">
        <v>0.000608975263932468</v>
      </c>
      <c r="H64" s="59" t="inlineStr">
        <is>
          <t>IONIC_LIQ#1; IONIC_LIQ#2; V3O5_HT#1</t>
        </is>
      </c>
    </row>
    <row r="65">
      <c r="A65" s="8" t="inlineStr">
        <is>
          <t>Cu-V-O</t>
        </is>
      </c>
      <c r="B65" s="13" t="inlineStr">
        <is>
          <t>V2O5</t>
        </is>
      </c>
      <c r="C65" s="13" t="n">
        <v>1800</v>
      </c>
      <c r="D65" s="69" t="n">
        <v>0.7657890000000001</v>
      </c>
      <c r="E65" s="69" t="n">
        <v>0.066917</v>
      </c>
      <c r="F65" s="69" t="n">
        <v>0.167293</v>
      </c>
      <c r="G65" s="65" t="n">
        <v>0.0006089752639324696</v>
      </c>
      <c r="H65" s="59" t="inlineStr">
        <is>
          <t>IONIC_LIQ#1; IONIC_LIQ#2; V3O5_HT#1</t>
        </is>
      </c>
    </row>
    <row r="66">
      <c r="A66" s="8" t="inlineStr">
        <is>
          <t>Cu-V-O</t>
        </is>
      </c>
      <c r="B66" s="13" t="inlineStr">
        <is>
          <t>V2O5</t>
        </is>
      </c>
      <c r="C66" s="13" t="n">
        <v>1800</v>
      </c>
      <c r="D66" s="69" t="n">
        <v>0.7210530000000001</v>
      </c>
      <c r="E66" s="69" t="n">
        <v>0.07969900000000001</v>
      </c>
      <c r="F66" s="69" t="n">
        <v>0.199248</v>
      </c>
      <c r="G66" s="65" t="n">
        <v>0.0006086989931423054</v>
      </c>
      <c r="H66" s="59" t="inlineStr">
        <is>
          <t>IONIC_LIQ#1; IONIC_LIQ#2</t>
        </is>
      </c>
    </row>
    <row r="67">
      <c r="A67" s="8" t="inlineStr">
        <is>
          <t>Cu-V-O</t>
        </is>
      </c>
      <c r="B67" s="13" t="inlineStr">
        <is>
          <t>V2O5</t>
        </is>
      </c>
      <c r="C67" s="13" t="n">
        <v>1800</v>
      </c>
      <c r="D67" s="69" t="n">
        <v>0.676316</v>
      </c>
      <c r="E67" s="69" t="n">
        <v>0.09248099999999999</v>
      </c>
      <c r="F67" s="69" t="n">
        <v>0.231203</v>
      </c>
      <c r="G67" s="65" t="n">
        <v>0.0006075806595837329</v>
      </c>
      <c r="H67" s="59" t="inlineStr">
        <is>
          <t>IONIC_LIQ#1; IONIC_LIQ#2</t>
        </is>
      </c>
    </row>
    <row r="68">
      <c r="A68" s="8" t="inlineStr">
        <is>
          <t>Cu-V-O</t>
        </is>
      </c>
      <c r="B68" s="13" t="inlineStr">
        <is>
          <t>V2O5</t>
        </is>
      </c>
      <c r="C68" s="13" t="n">
        <v>1800</v>
      </c>
      <c r="D68" s="69" t="n">
        <v>0.631579</v>
      </c>
      <c r="E68" s="69" t="n">
        <v>0.105263</v>
      </c>
      <c r="F68" s="69" t="n">
        <v>0.263158</v>
      </c>
      <c r="G68" s="65" t="n">
        <v>0.0006066170076563114</v>
      </c>
      <c r="H68" s="59" t="inlineStr">
        <is>
          <t>IONIC_LIQ#1; IONIC_LIQ#2</t>
        </is>
      </c>
    </row>
    <row r="69">
      <c r="A69" s="8" t="inlineStr">
        <is>
          <t>Cu-V-O</t>
        </is>
      </c>
      <c r="B69" s="13" t="inlineStr">
        <is>
          <t>V2O5</t>
        </is>
      </c>
      <c r="C69" s="13" t="n">
        <v>1800</v>
      </c>
      <c r="D69" s="69" t="n">
        <v>0.586842</v>
      </c>
      <c r="E69" s="69" t="n">
        <v>0.118045</v>
      </c>
      <c r="F69" s="69" t="n">
        <v>0.295113</v>
      </c>
      <c r="G69" s="65" t="n">
        <v>0.0006057789423692359</v>
      </c>
      <c r="H69" s="59" t="inlineStr">
        <is>
          <t>IONIC_LIQ#1; IONIC_LIQ#2</t>
        </is>
      </c>
    </row>
    <row r="70">
      <c r="A70" s="8" t="inlineStr">
        <is>
          <t>Cu-V-O</t>
        </is>
      </c>
      <c r="B70" s="13" t="inlineStr">
        <is>
          <t>V2O5</t>
        </is>
      </c>
      <c r="C70" s="13" t="n">
        <v>1800</v>
      </c>
      <c r="D70" s="69" t="n">
        <v>0.5421049999999999</v>
      </c>
      <c r="E70" s="69" t="n">
        <v>0.130827</v>
      </c>
      <c r="F70" s="69" t="n">
        <v>0.327068</v>
      </c>
      <c r="G70" s="65" t="n">
        <v>0.0006050440821113034</v>
      </c>
      <c r="H70" s="59" t="inlineStr">
        <is>
          <t>IONIC_LIQ#1; IONIC_LIQ#2</t>
        </is>
      </c>
    </row>
    <row r="71">
      <c r="A71" s="8" t="inlineStr">
        <is>
          <t>Cu-V-O</t>
        </is>
      </c>
      <c r="B71" s="13" t="inlineStr">
        <is>
          <t>V2O5</t>
        </is>
      </c>
      <c r="C71" s="13" t="n">
        <v>1800</v>
      </c>
      <c r="D71" s="69" t="n">
        <v>0.497368</v>
      </c>
      <c r="E71" s="69" t="n">
        <v>0.143609</v>
      </c>
      <c r="F71" s="69" t="n">
        <v>0.359023</v>
      </c>
      <c r="G71" s="65" t="n">
        <v>0.0006043949529175177</v>
      </c>
      <c r="H71" s="59" t="inlineStr">
        <is>
          <t>IONIC_LIQ#1; IONIC_LIQ#2</t>
        </is>
      </c>
    </row>
    <row r="72">
      <c r="A72" s="8" t="inlineStr">
        <is>
          <t>Cu-V-O</t>
        </is>
      </c>
      <c r="B72" s="13" t="inlineStr">
        <is>
          <t>V2O5</t>
        </is>
      </c>
      <c r="C72" s="13" t="n">
        <v>1800</v>
      </c>
      <c r="D72" s="69" t="n">
        <v>0.452632</v>
      </c>
      <c r="E72" s="69" t="n">
        <v>0.156391</v>
      </c>
      <c r="F72" s="69" t="n">
        <v>0.390977</v>
      </c>
      <c r="G72" s="65" t="n">
        <v>0.0006038177336590362</v>
      </c>
      <c r="H72" s="59" t="inlineStr">
        <is>
          <t>IONIC_LIQ#1; IONIC_LIQ#2</t>
        </is>
      </c>
    </row>
    <row r="73">
      <c r="A73" s="8" t="inlineStr">
        <is>
          <t>Cu-V-O</t>
        </is>
      </c>
      <c r="B73" s="13" t="inlineStr">
        <is>
          <t>V2O5</t>
        </is>
      </c>
      <c r="C73" s="13" t="n">
        <v>1800</v>
      </c>
      <c r="D73" s="69" t="n">
        <v>0.407895</v>
      </c>
      <c r="E73" s="69" t="n">
        <v>0.169173</v>
      </c>
      <c r="F73" s="69" t="n">
        <v>0.422932</v>
      </c>
      <c r="G73" s="65" t="n">
        <v>0.0006033013642003349</v>
      </c>
      <c r="H73" s="59" t="inlineStr">
        <is>
          <t>IONIC_LIQ#1; IONIC_LIQ#2</t>
        </is>
      </c>
    </row>
    <row r="74">
      <c r="A74" s="8" t="inlineStr">
        <is>
          <t>Cu-V-O</t>
        </is>
      </c>
      <c r="B74" s="13" t="inlineStr">
        <is>
          <t>V2O5</t>
        </is>
      </c>
      <c r="C74" s="13" t="n">
        <v>1800</v>
      </c>
      <c r="D74" s="69" t="n">
        <v>0.363158</v>
      </c>
      <c r="E74" s="69" t="n">
        <v>0.181955</v>
      </c>
      <c r="F74" s="69" t="n">
        <v>0.454887</v>
      </c>
      <c r="G74" s="65" t="n">
        <v>0.0006028368997837505</v>
      </c>
      <c r="H74" s="59" t="inlineStr">
        <is>
          <t>IONIC_LIQ#1; IONIC_LIQ#2</t>
        </is>
      </c>
    </row>
    <row r="75">
      <c r="A75" s="8" t="inlineStr">
        <is>
          <t>Cu-V-O</t>
        </is>
      </c>
      <c r="B75" s="13" t="inlineStr">
        <is>
          <t>V2O5</t>
        </is>
      </c>
      <c r="C75" s="13" t="n">
        <v>1800</v>
      </c>
      <c r="D75" s="69" t="n">
        <v>0.318421</v>
      </c>
      <c r="E75" s="69" t="n">
        <v>0.194737</v>
      </c>
      <c r="F75" s="69" t="n">
        <v>0.486842</v>
      </c>
      <c r="G75" s="65" t="n">
        <v>0.0006024170362593856</v>
      </c>
      <c r="H75" s="59" t="inlineStr">
        <is>
          <t>IONIC_LIQ#1; IONIC_LIQ#2</t>
        </is>
      </c>
    </row>
    <row r="76">
      <c r="A76" s="8" t="inlineStr">
        <is>
          <t>Cu-V-O</t>
        </is>
      </c>
      <c r="B76" s="13" t="inlineStr">
        <is>
          <t>V2O5</t>
        </is>
      </c>
      <c r="C76" s="13" t="n">
        <v>1800</v>
      </c>
      <c r="D76" s="69" t="n">
        <v>0.273684</v>
      </c>
      <c r="E76" s="69" t="n">
        <v>0.207519</v>
      </c>
      <c r="F76" s="69" t="n">
        <v>0.518797</v>
      </c>
      <c r="G76" s="65" t="n">
        <v>0.0006020357560719341</v>
      </c>
      <c r="H76" s="59" t="inlineStr">
        <is>
          <t>IONIC_LIQ#1; IONIC_LIQ#2</t>
        </is>
      </c>
    </row>
    <row r="77">
      <c r="A77" s="8" t="inlineStr">
        <is>
          <t>Cu-V-O</t>
        </is>
      </c>
      <c r="B77" s="13" t="inlineStr">
        <is>
          <t>V2O5</t>
        </is>
      </c>
      <c r="C77" s="13" t="n">
        <v>1800</v>
      </c>
      <c r="D77" s="69" t="n">
        <v>0.228947</v>
      </c>
      <c r="E77" s="69" t="n">
        <v>0.220301</v>
      </c>
      <c r="F77" s="69" t="n">
        <v>0.550752</v>
      </c>
      <c r="G77" s="65" t="n">
        <v>0.0006016880609681081</v>
      </c>
      <c r="H77" s="59" t="inlineStr">
        <is>
          <t>IONIC_LIQ#1; IONIC_LIQ#2</t>
        </is>
      </c>
    </row>
    <row r="78">
      <c r="A78" s="8" t="inlineStr">
        <is>
          <t>Cu-V-O</t>
        </is>
      </c>
      <c r="B78" s="13" t="inlineStr">
        <is>
          <t>V2O5</t>
        </is>
      </c>
      <c r="C78" s="13" t="n">
        <v>1800</v>
      </c>
      <c r="D78" s="69" t="n">
        <v>0.184211</v>
      </c>
      <c r="E78" s="69" t="n">
        <v>0.233083</v>
      </c>
      <c r="F78" s="69" t="n">
        <v>0.582707</v>
      </c>
      <c r="G78" s="65" t="n">
        <v>0.0003420427646720472</v>
      </c>
      <c r="H78" s="59" t="inlineStr">
        <is>
          <t>IONIC_LIQ#2</t>
        </is>
      </c>
    </row>
    <row r="79">
      <c r="A79" s="8" t="inlineStr">
        <is>
          <t>Cu-V-O</t>
        </is>
      </c>
      <c r="B79" s="13" t="inlineStr">
        <is>
          <t>V2O5</t>
        </is>
      </c>
      <c r="C79" s="13" t="n">
        <v>1800</v>
      </c>
      <c r="D79" s="69" t="n">
        <v>0.139474</v>
      </c>
      <c r="E79" s="69" t="n">
        <v>0.245865</v>
      </c>
      <c r="F79" s="69" t="n">
        <v>0.614662</v>
      </c>
      <c r="G79" s="65" t="n">
        <v>0.0001478601310591977</v>
      </c>
      <c r="H79" s="59" t="inlineStr">
        <is>
          <t>IONIC_LIQ#2</t>
        </is>
      </c>
    </row>
    <row r="80">
      <c r="A80" s="8" t="inlineStr">
        <is>
          <t>Cu-V-O</t>
        </is>
      </c>
      <c r="B80" s="13" t="inlineStr">
        <is>
          <t>V2O5</t>
        </is>
      </c>
      <c r="C80" s="13" t="n">
        <v>1800</v>
      </c>
      <c r="D80" s="69" t="n">
        <v>0.094737</v>
      </c>
      <c r="E80" s="69" t="n">
        <v>0.258647</v>
      </c>
      <c r="F80" s="69" t="n">
        <v>0.646617</v>
      </c>
      <c r="G80" s="65" t="n">
        <v>6.016951044280985e-05</v>
      </c>
      <c r="H80" s="59" t="inlineStr">
        <is>
          <t>IONIC_LIQ#2</t>
        </is>
      </c>
    </row>
    <row r="81">
      <c r="A81" s="60" t="inlineStr">
        <is>
          <t>Cu-V-O</t>
        </is>
      </c>
      <c r="B81" s="15" t="inlineStr">
        <is>
          <t>V2O5</t>
        </is>
      </c>
      <c r="C81" s="15" t="n">
        <v>1800</v>
      </c>
      <c r="D81" s="70" t="n">
        <v>0.05</v>
      </c>
      <c r="E81" s="70" t="n">
        <v>0.271429</v>
      </c>
      <c r="F81" s="70" t="n">
        <v>0.678571</v>
      </c>
      <c r="G81" s="67" t="n">
        <v>3.304376173394248e-05</v>
      </c>
      <c r="H81" s="61" t="inlineStr">
        <is>
          <t>GAS#1; IONIC_LIQ#2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16" customWidth="1" min="5" max="5"/>
  </cols>
  <sheetData>
    <row r="1">
      <c r="A1" s="1" t="inlineStr">
        <is>
          <t>CSV File</t>
        </is>
      </c>
      <c r="B1" s="2" t="inlineStr">
        <is>
          <t>Generated By</t>
        </is>
      </c>
      <c r="C1" s="2" t="inlineStr">
        <is>
          <t>Database</t>
        </is>
      </c>
      <c r="D1" s="2" t="inlineStr">
        <is>
          <t>Description</t>
        </is>
      </c>
      <c r="E1" s="3" t="inlineStr">
        <is>
          <t>Date Extracted</t>
        </is>
      </c>
    </row>
    <row r="2">
      <c r="A2" s="4" t="inlineStr">
        <is>
          <t>dG_vs_T_top6.csv</t>
        </is>
      </c>
      <c r="B2" s="12" t="inlineStr">
        <is>
          <t>simulations/tcpython/dG_vs_T_top6.py</t>
        </is>
      </c>
      <c r="C2" s="12" t="inlineStr">
        <is>
          <t>TCOX14</t>
        </is>
      </c>
      <c r="D2" s="12" t="inlineStr">
        <is>
          <t>Fine-resolution dG vs T for top 6 ternary candidates (25 K steps, 800-1900 K)</t>
        </is>
      </c>
      <c r="E2" s="58" t="inlineStr">
        <is>
          <t>2026-03-13</t>
        </is>
      </c>
    </row>
    <row r="3">
      <c r="A3" s="8" t="inlineStr">
        <is>
          <t>cufe2o4_alternative_reaction.csv</t>
        </is>
      </c>
      <c r="B3" s="13" t="inlineStr">
        <is>
          <t>simulations/tcpython/cufe2o4_alternative_reaction.py</t>
        </is>
      </c>
      <c r="C3" s="13" t="inlineStr">
        <is>
          <t>TCOX14</t>
        </is>
      </c>
      <c r="D3" s="13" t="inlineStr">
        <is>
          <t>CuFe2O4 formation decomposed into Cu-capture vs Fe-oxidation components (50 K steps, 800-1900 K)</t>
        </is>
      </c>
      <c r="E3" s="59" t="inlineStr">
        <is>
          <t>2026-03-13</t>
        </is>
      </c>
    </row>
    <row r="4">
      <c r="A4" s="4" t="inlineStr">
        <is>
          <t>cufe2o4_decomposition_results.csv</t>
        </is>
      </c>
      <c r="B4" s="12" t="inlineStr">
        <is>
          <t>screening/analyze_cufe2o4_decomposition.py</t>
        </is>
      </c>
      <c r="C4" s="12" t="inlineStr">
        <is>
          <t>(derived from cufe2o4_alternative_reaction.csv)</t>
        </is>
      </c>
      <c r="D4" s="12" t="inlineStr">
        <is>
          <t>Pre-computed Fe-oxidation and Cu-capture percentages</t>
        </is>
      </c>
      <c r="E4" s="58" t="inlineStr">
        <is>
          <t>2026-03-13</t>
        </is>
      </c>
    </row>
    <row r="5">
      <c r="A5" s="8" t="inlineStr">
        <is>
          <t>slag_composition_effects.csv</t>
        </is>
      </c>
      <c r="B5" s="13" t="inlineStr">
        <is>
          <t>simulations/tcpython/slag_composition_effects.py</t>
        </is>
      </c>
      <c r="C5" s="13" t="inlineStr">
        <is>
          <t>TCOX14</t>
        </is>
      </c>
      <c r="D5" s="13" t="inlineStr">
        <is>
          <t>Cu activity in quaternary slag systems (Cu-Mn-Si-O, Cu-Al-Si-O) vs basicity ratio at 1800 K</t>
        </is>
      </c>
      <c r="E5" s="59" t="inlineStr">
        <is>
          <t>2026-03-13</t>
        </is>
      </c>
    </row>
    <row r="6">
      <c r="A6" s="20" t="inlineStr">
        <is>
          <t>cu_activity_vs_oxide.csv</t>
        </is>
      </c>
      <c r="B6" s="45" t="inlineStr">
        <is>
          <t>simulations/tcpython/cu_activity_vs_oxide.py</t>
        </is>
      </c>
      <c r="C6" s="45" t="inlineStr">
        <is>
          <t>TCOX14</t>
        </is>
      </c>
      <c r="D6" s="45" t="inlineStr">
        <is>
          <t>Cu activity sweep at 1800 K across 4 ternary systems (Cu-Al-O, Cu-Mn-O, Cu-Fe-O, Cu-V-O), 20 compositions each</t>
        </is>
      </c>
      <c r="E6" s="71" t="inlineStr">
        <is>
          <t>2026-03-13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2026-03-14T03:02:15Z</dcterms:created>
  <dcterms:modified xmlns:dcterms="http://purl.org/dc/terms/" xmlns:xsi="http://www.w3.org/2001/XMLSchema-instance" xsi:type="dcterms:W3CDTF">2026-03-14T03:02:15Z</dcterms:modified>
</cp:coreProperties>
</file>